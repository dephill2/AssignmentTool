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vagov-my.sharepoint.com/personal/david_phillips5_va_gov/Documents/Analytics/"/>
    </mc:Choice>
  </mc:AlternateContent>
  <xr:revisionPtr revIDLastSave="187" documentId="8_{1B292FB0-71E8-4A45-AFBF-8DCC11DB8858}" xr6:coauthVersionLast="47" xr6:coauthVersionMax="47" xr10:uidLastSave="{E5F44D2B-B1F5-4208-9C5B-9296C5EE0E7F}"/>
  <bookViews>
    <workbookView xWindow="-28920" yWindow="-120" windowWidth="29040" windowHeight="15720" activeTab="1" xr2:uid="{FF5D3959-4EAC-4293-99E3-EA011FE4AFE0}"/>
  </bookViews>
  <sheets>
    <sheet name="RN_Distribution" sheetId="3" r:id="rId1"/>
    <sheet name="Provider_Teams" sheetId="4" r:id="rId2"/>
    <sheet name="Cross_Walk" sheetId="5" r:id="rId3"/>
    <sheet name="Staff_Inputs" sheetId="1" r:id="rId4"/>
    <sheet name="Census_Input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a="1"/>
  <c r="H1" i="3" a="1"/>
  <c r="A1" i="4" a="1"/>
  <c r="H1" i="4" a="1"/>
  <c r="M1" i="4" a="1"/>
  <c r="M1" i="4" l="1"/>
  <c r="H1" i="4"/>
  <c r="A1" i="4"/>
  <c r="H1" i="3"/>
  <c r="A1" i="3"/>
  <c r="A1" i="5" a="1"/>
  <c r="A1" i="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import pandas as pd
output_df = pd.DataFrame(["No Data"])
try:
    # 1. SETUP
    df_sites = xl(%P2%, headers=True)
    df_inputs = xl(%P3%, headers=True)
    # Inputs
    num_rns = int(df_inputs.loc[df_inputs['Variable'] == 'Num_RNs', 'Value'].iloc[0])
    try:
        aprn_val = df_inputs.loc[df_inputs['Variable'] == 'APRN_Active', 'Value'].iloc[0]
        aprn_on = str(aprn_val).lower() in ['yes', '1', 'true', 'on']
    except:
        aprn_on = False
    aprn_list = ['ASH', 'BEC', 'BHH', 'CAV', 'CHY', 'FAR', 'FAV', 'FHM', 'LEA', 'LEB', 'LKC', 'MAR', 'MUS', 'SUX', 'TOP', 'WIM', 'BIL', 'CLA', 'CTX', 'GRJ', 'MOU', 'WIC', 'BRX', 'CMS', 'DET', 'MWV', 'TOG', 'SBY']
    # 2. CLEAN &amp; SORT
    df_sites = df_sites[df_sites['facilityName'].str.lower() != 'total']
    df_sites['TotalCensus'] = pd.to_numeric(df_sites['TotalCensus'], errors='coerce').fillna(0)
    df_sites = df_sites.sort_values('TotalCensus', ascending=False)
    rns = [{'id': f"RN {i+1}", 'census': 0, 'count': 0} for i in range(num_rns)]
    assignments = []
    for _, row in df_sites.iterrows():
        name = row['facilityName']
        cen = row['TotalCensus']
        orig = row['SiteCode']
        rns.sort(key=lambda x: x['census'])
        assigned = False
        for rn in rns:
            if (rn['census'] + cen &lt;= 55) and (rn['count'] &lt; 7):
                rn['census'] += cen
                rn['count'] += 1
                is_aprn = "Yes" if (aprn_on and orig in aprn_list) else "No"
                assignments.append([rn['id'], name, int(cen), is_aprn])
                assigned = True
                break
        if not assigned:
            assignments.append(["UNASSIGNED", name, int(cen), "No"])
    # 3. OUTPUT - THE FIX
    df_out = pd.DataFrame(assignments, columns=["RN Number", "Site", "Census", "APRN?"])
    # Sort nicely
    df_out = df_out.sort_values(by=['RN Number', 'Census'], ascending=[True, False])
    # Reset index to hide the row numbers completely
    output_df = df_out.reset_index(drop=True)
except Exception as e:
    output_df = pd.DataFrame([f"Error: {str(e)}"])
output_df</code>
    </pythonScript>
    <pythonScript>
      <code>import pandas as pd
output_df = pd.DataFrame(["No Data"])
try:
    # 1. SETUP
    df_sites = xl(%P2%, headers=True)
    df_inputs = xl(%P3%, headers=True)
    num_rns = int(df_inputs.loc[df_inputs['Variable'] == 'Num_RNs', 'Value'].iloc[0])
    # 2. CLEAN &amp; SORT
    df_sites = df_sites[df_sites['facilityName'].str.lower() != 'total']
    df_sites['TotalCensus'] = pd.to_numeric(df_sites['TotalCensus'], errors='coerce').fillna(0)
    df_sites = df_sites.sort_values('TotalCensus', ascending=False)
    # 3. RUN LOGIC
    rns = [{'id': f"RN {i+1}", 'census': 0, 'count': 0} for i in range(num_rns)]
    for _, row in df_sites.iterrows():
        cen = row['TotalCensus']
        rns.sort(key=lambda x: x['census']) # Sort by emptiest
        for rn in rns:
            if (rn['census'] + cen &lt;= 55) and (rn['count'] &lt; 7):
                rn['census'] += cen
                rn['count'] += 1
                break
    # 4. BUILD SUMMARY TABLE
    summary_list = []
    for rn in rns:
        summary_list.append([rn['id'], int(rn['census'])])
    # Create DataFrame
    df_sum = pd.DataFrame(summary_list, columns=["RN Number", "Total Patients"])
    # Sort correctly (RN 1, RN 2, RN 3... instead of RN 1, RN 10, RN 2)
    df_sum['SortKey'] = df_sum['RN Number'].apply(lambda x: int(x.split(' ')[1]))
    output_df = df_sum.sort_values('SortKey').drop(columns=['SortKey']).reset_index(drop=True)
except Exception as e:
    output_df = pd.DataFrame([f"Error: {str(e)}"])
output_df</code>
    </pythonScript>
    <pythonScript>
      <code>import pandas as pd
# 1. Initialize Default Output
output_df = pd.DataFrame(["No Data Generated"])
try:
    df_sites = xl(%P2%, headers=True)
    df_inputs = xl(%P3%, headers=True)
    num_teams = int(df_inputs.loc[df_inputs['Variable'] == 'Num_Providers', 'Value'].iloc[0])
    team_4 = {
        1: ['Ann Arbor', 'Asheville', 'Augusta', 'Bay Pines', 'Beckley', 'Bronx', 'Cincinnati', 'Clarksburg', 'Columbia, SC', 'Connecticut', 'Dayton', 'Detroit', 'Huntington','Hampton', 'Lebanon', 'Northern Indiana', 'NYN-New York Harbor','BYN-New York Harbor', 'Salisbury', 'ALN-Upstate New York', 'BUF-Upstate New York', 'SYR-Upstate New York','White River Junction', 'Wilmington', 'Wilkes-Barre'],
        2: ['Albuquerque', 'Amarillo', 'Cheyenne', 'Denver', 'Grand Junction', 'Houston', 'Iowa City', 'Marion', 'Muskogee', 'Nellis AFB DOD', 'Oklahoma City', 'Palo Alto', 'San Juan', 'Reno', 'Spokane', 'St. Louis', 'Topeka', 'Tucson', 'Wichita'],
        3: ['Atlanta', 'Baltimore', 'Birmingham', 'Central Alabama', 'Fayetteville, NC', 'Indianapolis', 'Martinsburg', 'Memphis', 'Mountain Home', 'North Florida/South Georgia', 'New Jersey', 'Northport', 'Orlando', 'Richmond', 'Togus', 'Washington DC', 'Black Hills', 'Loma Linda'],
        4: ['Biloxi', 'Boise', 'Columbia, MO', 'Des Moines', 'Fargo', 'Fayetteville, AR', 'Fresno', 'Fort Harrison', 'Jackson', 'Kansas City', 'Las Vegas', 'Leavenworth', 'Little Rock', 'Minneapolis', 'New Orleans', 'Omaha', 'Phoenix', 'Sacramento', 'Shreveport', 'Sioux Falls', 'Temple (Central Texas)', 'West Los Angeles', 'Cleveland']
    }
    rows = []
    if num_teams == 4:
        for team, sites in team_4.items():
            team_data = df_sites[df_sites['facilityName'].isin(sites)].copy()
            if not team_data.empty:
                team_data = team_data.sort_values(by='Categories')
                for _, r in team_data.iterrows():
                    rows.append([f"Team {team}", int(r['Categories']), r['facilityName'], int(r['TotalCensus'])])
    # 4. ASSIGN FINAL OUTPUT
    output_df = pd.DataFrame(rows, columns=["Team", "Cat", "Site", "Census"])
except Exception as e:
    output_df = pd.DataFrame([f"Error: {str(e)}"])
# 5. FINAL RETURN (Must be the last line)
output_df</code>
    </pythonScript>
    <pythonScript>
      <code>import pandas as pd
# Default output
output_df = pd.DataFrame(["No Data"])
try:
    # 1. SETUP
    df_sites = xl(%P2%, headers=True)
    df_inputs = xl(%P3%, headers=True)
    num_teams = int(df_inputs.loc[df_inputs['Variable'] == 'Num_Providers', 'Value'].iloc[0])
    # 2. PROVIDER MAPPING (Same logic as before)
    team_4 = {
        1: ['Ann Arbor', 'Asheville', 'Augusta', 'Bay Pines', 'Beckley', 'Bronx', 'Cincinnati', 'Clarksburg', 'Columbia, SC', 'Connecticut', 'Dayton', 'Detroit', 'Huntington','Hampton', 'Lebanon', 'Northern Indiana', 'NYN-New York Harbor','BYN-New York Harbor', 'Salisbury', 'ALN-Upstate New York', 'BUF-Upstate New York', 'SYR-Upstate New York','White River Junction', 'Wilmington', 'Wilkes-Barre'],
        2: ['Albuquerque', 'Amarillo', 'Cheyenne', 'Denver', 'Grand Junction', 'Houston', 'Iowa City', 'Marion', 'Muskogee', 'Nellis AFB DOD', 'Oklahoma City', 'Palo Alto', 'San Juan', 'Reno', 'Spokane', 'St. Louis', 'Topeka', 'Tucson', 'Wichita'],
        3: ['Atlanta', 'Baltimore', 'Birmingham', 'Central Alabama', 'Fayetteville, NC', 'Indianapolis', 'Martinsburg', 'Memphis', 'Mountain Home', 'North Florida/South Georgia', 'New Jersey', 'Northport', 'Orlando', 'Richmond', 'Togus', 'Washington DC', 'Black Hills', 'Loma Linda'],
        4: ['Biloxi', 'Boise', 'Columbia, MO', 'Des Moines', 'Fargo', 'Fayetteville, AR', 'Fresno', 'Fort Harrison', 'Jackson', 'Kansas City', 'Las Vegas', 'Leavenworth', 'Little Rock', 'Minneapolis', 'New Orleans', 'Omaha', 'Phoenix', 'Sacramento', 'Shreveport', 'Sioux Falls', 'Temple (Central Texas)', 'West Los Angeles', 'Cleveland']
    }
    # 3. CALCULATE TOTALS
    summary_rows = []
    # Ensure 'TotalCensus' is numeric
    df_sites['TotalCensus'] = pd.to_numeric(df_sites['TotalCensus'], errors='coerce').fillna(0)
    if num_teams == 4:
        for team_id, sites in team_4.items():
            # Filter for just this team's sites
            team_data = df_sites[df_sites['facilityName'].isin(sites)]
            # Sum it up
            total_census = team_data['TotalCensus'].sum()
            site_count = len(team_data)
            summary_rows.append([f"Team {team_id}", int(total_census), site_count])
    # 4. OUTPUT
    df_out = pd.DataFrame(summary_rows, columns=["Provider Team", "Total Patients", "Total Sites"])
    # Remove index numbers for a clean look
    output_df = df_out.reset_index(drop=True)
except Exception as e:
    output_df = pd.DataFrame([f"Error: {str(e)}"])
output_df</code>
    </pythonScript>
    <pythonScript>
      <code>import pandas as pd
output_df = pd.DataFrame(["No Data"])
try:
    # 1. SETUP
    df_sites = xl(%P2%, headers=True)
    df_inputs = xl(%P3%, headers=True)
    num_teams = int(df_inputs.loc[df_inputs['Variable'] == 'Num_Providers', 'Value'].iloc[0])
    df_sites['TotalCensus'] = pd.to_numeric(df_sites['TotalCensus'], errors='coerce').fillna(0)
    # 2. MAPPING (Condensed)
    team_4 = {
        1: ['Ann Arbor', 'Asheville', 'Augusta', 'Bay Pines', 'Beckley', 'Bronx', 'Cincinnati', 'Clarksburg', 'Columbia, SC', 'Connecticut', 'Dayton', 'Detroit', 'Huntington','Hampton', 'Lebanon', 'Northern Indiana', 'NYN-New York Harbor','BYN-New York Harbor', 'Salisbury', 'ALN-Upstate New York', 'BUF-Upstate New York', 'SYR-Upstate New York','White River Junction', 'Wilmington', 'Wilkes-Barre'],
        2: ['Albuquerque', 'Amarillo', 'Cheyenne', 'Denver', 'Grand Junction', 'Houston', 'Iowa City', 'Marion', 'Muskogee', 'Nellis AFB DOD', 'Oklahoma City', 'Palo Alto', 'San Juan', 'Reno', 'Spokane', 'St. Louis', 'Topeka', 'Tucson', 'Wichita'],
        3: ['Atlanta', 'Baltimore', 'Birmingham', 'Central Alabama', 'Fayetteville, NC', 'Indianapolis', 'Martinsburg', 'Memphis', 'Mountain Home', 'North Florida/South Georgia', 'New Jersey', 'Northport', 'Orlando', 'Richmond', 'Togus', 'Washington DC', 'Black Hills', 'Loma Linda'],
        4: ['Biloxi', 'Boise', 'Columbia, MO', 'Des Moines', 'Fargo', 'Fayetteville, AR', 'Fresno', 'Fort Harrison', 'Jackson', 'Kansas City', 'Las Vegas', 'Leavenworth', 'Little Rock', 'Minneapolis', 'New Orleans', 'Omaha', 'Phoenix', 'Sacramento', 'Shreveport', 'Sioux Falls', 'Temple (Central Texas)', 'West Los Angeles', 'Cleveland']
    }
    # 3. BUILD MATRIX
    raw_data = []
    if num_teams == 4:
        for team, sites in team_4.items():
            team_data = df_sites[df_sites['facilityName'].isin(sites)]
            for _, r in team_data.iterrows():
                # Short headers: "Cat 1", "Cat 2"
                raw_data.append({
                    "Team": f"Team {team}",
                    "Category": f"Cat {int(r['Categories'])}",
                    "Census": r['TotalCensus']
                })
    if raw_data:
        df_raw = pd.DataFrame(raw_data)
        # Create Pivot
        pivot_df = df_raw.pivot_table(index='Team', columns='Category', values='Census', aggfunc='sum', fill_value=0)
        # Clean up headers so M1 says "Team"
        output_df = pivot_df.reset_index()
        output_df.columns.name = None # Removes the word "Category" from the corner
    else:
        output_df = pd.DataFrame(["No Data Found"])
except Exception as e:
    output_df = pd.DataFrame([f"Error: {str(e)}"])
output_df</code>
    </pythonScript>
    <pythonScript>
      <code>import pandas as pd
output_df = pd.DataFrame(["No Data"])
try:
    # 1. SETUP
    df_sites = xl(%P2%, headers=True)
    df_inputs = xl(%P3%, headers=True)
    # Clean Data
    df_sites = df_sites.dropna(subset=['facilityName'])
    df_sites = df_sites[df_sites['facilityName'].str.lower() != 'total']
    df_sites['TotalCensus'] = pd.to_numeric(df_sites['TotalCensus'], errors='coerce').fillna(0)
    df_sites = df_sites.sort_values('TotalCensus', ascending=False)
    num_rns = int(df_inputs.loc[df_inputs['Variable'] == 'Num_RNs', 'Value'].iloc[0])
    num_teams = int(df_inputs.loc[df_inputs['Variable'] == 'Num_Providers', 'Value'].iloc[0])
    # 2. CALCULATE RNs
    rns = [{'id': f"RN {i+1}", 'census': 0, 'count': 0} for i in range(num_rns)]
    rn_map = {} 
    for _, row in df_sites.iterrows():
        name = row['facilityName']
        cen = row['TotalCensus']
        rns.sort(key=lambda x: x['census']) 
        assigned = False
        for rn in rns:
            if (rn['census'] + cen &lt;= 55) and (rn['count'] &lt; 7):
                rn_map[name] = rn['id']
                rn['census'] += cen
                rn['count'] += 1
                assigned = True
                break
        if not assigned: rn_map[name] = "UNASSIGNED"
    # 3. PROVIDER MAPPING
    prov_map = {}
    team_4 = {
        1: ['Ann Arbor', 'Asheville', 'Augusta', 'Bay Pines', 'Beckley', 'Bronx', 'Cincinnati', 'Clarksburg', 'Columbia, SC', 'Connecticut', 'Dayton', 'Detroit', 'Huntington','Hampton', 'Lebanon', 'Northern Indiana', 'NYN-New York Harbor','BYN-New York Harbor', 'Salisbury', 'ALN-Upstate New York', 'BUF-Upstate New York', 'SYR-Upstate New York','White River Junction', 'Wilmington', 'Wilkes-Barre'],
        2: ['Albuquerque', 'Amarillo', 'Cheyenne', 'Denver', 'Grand Junction', 'Houston', 'Iowa City', 'Marion', 'Muskogee', 'Nellis AFB DOD', 'Nellis AFB', 'Oklahoma City', 'Palo Alto', 'San Juan', 'Reno', 'Spokane', 'St. Louis', 'Topeka', 'Tucson', 'Wichita'],
        3: ['Atlanta', 'Baltimore', 'Birmingham', 'Central Alabama', 'Fayetteville, NC', 'Indianapolis', 'Martinsburg', 'Memphis', 'Mountain Home', 'North Florida/South Georgia', 'New Jersey', 'Northport', 'Orlando', 'Richmond', 'Togus', 'Washington DC', 'Black Hills', 'Loma Linda'],
        4: ['Biloxi', 'Boise', 'Columbia, MO', 'Des Moines', 'Fargo', 'Fayetteville, AR', 'Fresno', 'Fort Harrison', 'Jackson', 'Kansas City', 'Las Vegas', 'Leavenworth', 'Little Rock', 'Minneapolis', 'New Orleans', 'Omaha', 'Phoenix', 'Sacramento', 'Shreveport', 'Sioux Falls', 'Temple (Central Texas)', 'West Los Angeles', 'Cleveland']
    }
    if num_teams == 4:
        for team, sites in team_4.items():
            for s in sites:
                prov_map[s] = f"Team {team}"
    # 4. OUTPUT (Flat Table)
    crosswalk = []
    for name in sorted(df_sites['facilityName'].unique()):
        rn = rn_map.get(name, "Unassigned")
        prov = prov_map.get(name, "Unassigned")
        crosswalk.append([name, rn, prov])
    df_out = pd.DataFrame(crosswalk, columns=["Site Name", "Assigned RN", "Assigned Provider"])
    # Reset Index ensures headers are flat on Row 1
    output_df = df_out.reset_index(drop=True)
except Exception as e:
    output_df = pd.DataFrame([f"Error: {str(e)}"])
output_df</code>
    </pythonScript>
  </pythonScripts>
</python>
</file>

<file path=xl/sharedStrings.xml><?xml version="1.0" encoding="utf-8"?>
<sst xmlns="http://schemas.openxmlformats.org/spreadsheetml/2006/main" count="180" uniqueCount="180">
  <si>
    <t>SiteCode</t>
  </si>
  <si>
    <t>Categories</t>
  </si>
  <si>
    <t>TotalCensus</t>
  </si>
  <si>
    <t>ABQ</t>
  </si>
  <si>
    <t>Albuquerque</t>
  </si>
  <si>
    <t>ALN</t>
  </si>
  <si>
    <t>ALN-Upstate New York</t>
  </si>
  <si>
    <t>AMA</t>
  </si>
  <si>
    <t>Amarillo</t>
  </si>
  <si>
    <t>ANN</t>
  </si>
  <si>
    <t>Ann Arbor</t>
  </si>
  <si>
    <t>ASH</t>
  </si>
  <si>
    <t>Asheville</t>
  </si>
  <si>
    <t>ATG</t>
  </si>
  <si>
    <t>Atlanta</t>
  </si>
  <si>
    <t>AUG</t>
  </si>
  <si>
    <t>Augusta</t>
  </si>
  <si>
    <t>BAL</t>
  </si>
  <si>
    <t>Baltimore</t>
  </si>
  <si>
    <t>BAY</t>
  </si>
  <si>
    <t>Bay Pines</t>
  </si>
  <si>
    <t>BEC</t>
  </si>
  <si>
    <t>Beckley</t>
  </si>
  <si>
    <t>BHH</t>
  </si>
  <si>
    <t>Black Hills</t>
  </si>
  <si>
    <t>BIL</t>
  </si>
  <si>
    <t>Biloxi</t>
  </si>
  <si>
    <t>BIR</t>
  </si>
  <si>
    <t>Birmingham</t>
  </si>
  <si>
    <t>BOI</t>
  </si>
  <si>
    <t>Boise</t>
  </si>
  <si>
    <t>BRX</t>
  </si>
  <si>
    <t>Bronx</t>
  </si>
  <si>
    <t>BUF</t>
  </si>
  <si>
    <t>BUF-Upstate New York</t>
  </si>
  <si>
    <t>BYN</t>
  </si>
  <si>
    <t>BYN-New York Harbor</t>
  </si>
  <si>
    <t>CAV</t>
  </si>
  <si>
    <t>Central Alabama</t>
  </si>
  <si>
    <t>CHY</t>
  </si>
  <si>
    <t>Cheyenne</t>
  </si>
  <si>
    <t>CIN</t>
  </si>
  <si>
    <t>Cincinnati</t>
  </si>
  <si>
    <t>CLA</t>
  </si>
  <si>
    <t>Clarksburg</t>
  </si>
  <si>
    <t>CLE</t>
  </si>
  <si>
    <t>Cleveland</t>
  </si>
  <si>
    <t>CMO</t>
  </si>
  <si>
    <t>Columbia, MO</t>
  </si>
  <si>
    <t>CMS</t>
  </si>
  <si>
    <t>Columbia, SC</t>
  </si>
  <si>
    <t>CON</t>
  </si>
  <si>
    <t>Connecticut</t>
  </si>
  <si>
    <t>CTX</t>
  </si>
  <si>
    <t>Temple (Central Texas)</t>
  </si>
  <si>
    <t>DAY</t>
  </si>
  <si>
    <t>Dayton</t>
  </si>
  <si>
    <t>DEN</t>
  </si>
  <si>
    <t>Denver</t>
  </si>
  <si>
    <t>DES</t>
  </si>
  <si>
    <t>Des Moines</t>
  </si>
  <si>
    <t>DET</t>
  </si>
  <si>
    <t>Detroit</t>
  </si>
  <si>
    <t>DOD</t>
  </si>
  <si>
    <t>Nellis AFB</t>
  </si>
  <si>
    <t>FAR</t>
  </si>
  <si>
    <t>Fargo</t>
  </si>
  <si>
    <t>FAV</t>
  </si>
  <si>
    <t>Fayetteville, AR</t>
  </si>
  <si>
    <t>FHM</t>
  </si>
  <si>
    <t>Fort Harrison</t>
  </si>
  <si>
    <t>FNC</t>
  </si>
  <si>
    <t>Fayetteville, NC</t>
  </si>
  <si>
    <t>FRE</t>
  </si>
  <si>
    <t>Fresno</t>
  </si>
  <si>
    <t>GLA</t>
  </si>
  <si>
    <t>West Los Angeles</t>
  </si>
  <si>
    <t>GRJ</t>
  </si>
  <si>
    <t>Grand Junction</t>
  </si>
  <si>
    <t>HAM</t>
  </si>
  <si>
    <t>Hampton</t>
  </si>
  <si>
    <t>HOU</t>
  </si>
  <si>
    <t>Houston</t>
  </si>
  <si>
    <t>HUN</t>
  </si>
  <si>
    <t>Huntington</t>
  </si>
  <si>
    <t>IND</t>
  </si>
  <si>
    <t>Indianapolis</t>
  </si>
  <si>
    <t>IOW</t>
  </si>
  <si>
    <t>Iowa City</t>
  </si>
  <si>
    <t>JAC</t>
  </si>
  <si>
    <t>Jackson</t>
  </si>
  <si>
    <t>KAN</t>
  </si>
  <si>
    <t>Kansas City</t>
  </si>
  <si>
    <t>LAS</t>
  </si>
  <si>
    <t>Las Vegas</t>
  </si>
  <si>
    <t>LEA</t>
  </si>
  <si>
    <t>Leavenworth</t>
  </si>
  <si>
    <t>LEB</t>
  </si>
  <si>
    <t>Lebanon</t>
  </si>
  <si>
    <t>LIT</t>
  </si>
  <si>
    <t>Little Rock</t>
  </si>
  <si>
    <t>LKC</t>
  </si>
  <si>
    <t>North Florida/South Georgia</t>
  </si>
  <si>
    <t>LOM</t>
  </si>
  <si>
    <t>Loma Linda</t>
  </si>
  <si>
    <t>MAC</t>
  </si>
  <si>
    <t>Sacramento</t>
  </si>
  <si>
    <t>MAR</t>
  </si>
  <si>
    <t>Marion</t>
  </si>
  <si>
    <t>MEM</t>
  </si>
  <si>
    <t>Memphis</t>
  </si>
  <si>
    <t>MIN</t>
  </si>
  <si>
    <t>Minneapolis</t>
  </si>
  <si>
    <t>MOU</t>
  </si>
  <si>
    <t>Mountain Home</t>
  </si>
  <si>
    <t>MUS</t>
  </si>
  <si>
    <t>Muskogee</t>
  </si>
  <si>
    <t>MWV</t>
  </si>
  <si>
    <t>Martinsburg</t>
  </si>
  <si>
    <t>NIN</t>
  </si>
  <si>
    <t>Northern Indiana</t>
  </si>
  <si>
    <t>NJH</t>
  </si>
  <si>
    <t>New Jersey</t>
  </si>
  <si>
    <t>NOL</t>
  </si>
  <si>
    <t>New Orleans</t>
  </si>
  <si>
    <t>NOP</t>
  </si>
  <si>
    <t>Northport</t>
  </si>
  <si>
    <t>NYN</t>
  </si>
  <si>
    <t>NYN-New York Harbor</t>
  </si>
  <si>
    <t>OKL</t>
  </si>
  <si>
    <t>Oklahoma City</t>
  </si>
  <si>
    <t>OMA</t>
  </si>
  <si>
    <t>Omaha</t>
  </si>
  <si>
    <t>ORL</t>
  </si>
  <si>
    <t>Orlando</t>
  </si>
  <si>
    <t>PAL</t>
  </si>
  <si>
    <t>Palo Alto</t>
  </si>
  <si>
    <t>PHO</t>
  </si>
  <si>
    <t>Phoenix</t>
  </si>
  <si>
    <t>REN</t>
  </si>
  <si>
    <t>Reno</t>
  </si>
  <si>
    <t>RIC</t>
  </si>
  <si>
    <t>Richmond</t>
  </si>
  <si>
    <t>SAJ</t>
  </si>
  <si>
    <t>San Juan</t>
  </si>
  <si>
    <t>SBY</t>
  </si>
  <si>
    <t>Salisbury</t>
  </si>
  <si>
    <t>SHR</t>
  </si>
  <si>
    <t>Shreveport</t>
  </si>
  <si>
    <t>SPO</t>
  </si>
  <si>
    <t>Spokane</t>
  </si>
  <si>
    <t>STL</t>
  </si>
  <si>
    <t>St. Louis</t>
  </si>
  <si>
    <t>SUX</t>
  </si>
  <si>
    <t>Sioux Falls</t>
  </si>
  <si>
    <t>SYR</t>
  </si>
  <si>
    <t>SYR-Upstate New York</t>
  </si>
  <si>
    <t>TOG</t>
  </si>
  <si>
    <t>Togus</t>
  </si>
  <si>
    <t>TOP</t>
  </si>
  <si>
    <t>Topeka</t>
  </si>
  <si>
    <t>TUC</t>
  </si>
  <si>
    <t>Tucson</t>
  </si>
  <si>
    <t>WAS</t>
  </si>
  <si>
    <t>Washington DC</t>
  </si>
  <si>
    <t>WBP</t>
  </si>
  <si>
    <t>Wilkes-Barre</t>
  </si>
  <si>
    <t>WIC</t>
  </si>
  <si>
    <t>Wichita</t>
  </si>
  <si>
    <t>WIM</t>
  </si>
  <si>
    <t>Wilmington</t>
  </si>
  <si>
    <t>WRJ</t>
  </si>
  <si>
    <t>White River Junction</t>
  </si>
  <si>
    <t>Variable</t>
  </si>
  <si>
    <t>Value</t>
  </si>
  <si>
    <t>Num_RNs</t>
  </si>
  <si>
    <t>Num_Providers</t>
  </si>
  <si>
    <t>facilityName</t>
  </si>
  <si>
    <t>APRN_Active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</si>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</sst>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1" fillId="2" borderId="1" xfId="0" applyFont="1" applyFill="1" applyBorder="1"/>
    <xf numFmtId="0" fontId="1" fillId="2" borderId="1" xfId="0" applyFont="1" applyFill="1" applyBorder="1" applyAlignment="1">
      <alignment horizontal="center"/>
    </xf>
  </cellXfs>
  <cellStyles count="1">
    <cellStyle name="Normal" xfId="0" builtinId="0"/>
  </cellStyles>
  <dxfs count="1">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EF180-1208-4E46-82FD-69B5DCCDFB5D}" name="InputTable" displayName="InputTable" ref="A1:B4" totalsRowShown="0">
  <autoFilter ref="A1:B4" xr:uid="{BA3EF180-1208-4E46-82FD-69B5DCCDFB5D}"/>
  <tableColumns count="2">
    <tableColumn id="1" xr3:uid="{D66581FB-2DEA-4911-B9D6-46F521B35AD5}" name="Variable"/>
    <tableColumn id="2" xr3:uid="{2D8ECD8B-3DDC-42E0-B1EE-46649142ABA9}" name="Valu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B6CF83-0A99-450D-87FD-249A32EF82D4}" name="SiteTable" displayName="SiteTable" ref="A1:D86" totalsRowShown="0">
  <autoFilter ref="A1:D86" xr:uid="{CDB6CF83-0A99-450D-87FD-249A32EF82D4}"/>
  <tableColumns count="4">
    <tableColumn id="1" xr3:uid="{F0C82D6F-97D2-4DC5-97BB-8FEC5FC7A357}" name="SiteCode"/>
    <tableColumn id="2" xr3:uid="{C5EB6A08-E483-4FC1-B525-38BF28CA6936}" name="facilityName"/>
    <tableColumn id="4" xr3:uid="{3AEAD098-873B-45DD-9864-4F46E273F97A}" name="TotalCensus"/>
    <tableColumn id="3" xr3:uid="{D2416BAB-580B-43E5-B589-814347E65D0A}" name="Catego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7578C-0FD8-4EF0-B732-83A11274CB41}">
  <dimension ref="A1:I86"/>
  <sheetViews>
    <sheetView workbookViewId="0">
      <selection activeCell="I2" sqref="I2:I15"/>
    </sheetView>
  </sheetViews>
  <sheetFormatPr defaultRowHeight="15" x14ac:dyDescent="0.25"/>
  <cols>
    <col min="1" max="1" width="17.28515625" customWidth="1"/>
    <col min="2" max="2" width="27.7109375" customWidth="1"/>
    <col min="3" max="3" width="11.85546875" style="1" customWidth="1"/>
    <col min="4" max="4" width="15.140625" style="1" customWidth="1"/>
    <col min="8" max="8" width="14.140625" customWidth="1"/>
    <col min="9" max="9" width="16.7109375" bestFit="1" customWidth="1"/>
  </cols>
  <sheetData>
    <row r="1" spans="1:9" ht="18.75" x14ac:dyDescent="0.3">
      <c r="A1" s="5" t="str" cm="1">
        <f t="array" ref="A1:D86">_xlfn._xlws.PY(0,0,SiteTable[#All],InputTable[#All])</f>
        <v>RN Number</v>
      </c>
      <c r="B1" s="5" t="str">
        <v>Site</v>
      </c>
      <c r="C1" s="6" t="str">
        <v>Census</v>
      </c>
      <c r="D1" s="6" t="str">
        <v>APRN?</v>
      </c>
      <c r="H1" s="5" t="str" cm="1">
        <f t="array" ref="H1:I15">_xlfn._xlws.PY(1,0,SiteTable[#All],InputTable[#All])</f>
        <v>RN Number</v>
      </c>
      <c r="I1" s="6" t="str">
        <v>Total Patients</v>
      </c>
    </row>
    <row r="2" spans="1:9" x14ac:dyDescent="0.25">
      <c r="A2" s="3" t="str">
        <v>RN 1</v>
      </c>
      <c r="B2" s="3" t="str">
        <v>San Juan</v>
      </c>
      <c r="C2" s="4">
        <v>31</v>
      </c>
      <c r="D2" s="4" t="str">
        <v>No</v>
      </c>
      <c r="H2" s="3" t="str">
        <v>RN 1</v>
      </c>
      <c r="I2" s="4">
        <v>43</v>
      </c>
    </row>
    <row r="3" spans="1:9" x14ac:dyDescent="0.25">
      <c r="A3" s="3" t="str">
        <v>RN 1</v>
      </c>
      <c r="B3" s="3" t="str">
        <v>Columbia, SC</v>
      </c>
      <c r="C3" s="4">
        <v>6</v>
      </c>
      <c r="D3" s="4" t="str">
        <v>Yes</v>
      </c>
      <c r="H3" s="3" t="str">
        <v>RN 2</v>
      </c>
      <c r="I3" s="4">
        <v>43</v>
      </c>
    </row>
    <row r="4" spans="1:9" x14ac:dyDescent="0.25">
      <c r="A4" s="3" t="str">
        <v>RN 1</v>
      </c>
      <c r="B4" s="3" t="str">
        <v>Hampton</v>
      </c>
      <c r="C4" s="4">
        <v>4</v>
      </c>
      <c r="D4" s="4" t="str">
        <v>No</v>
      </c>
      <c r="H4" s="3" t="str">
        <v>RN 3</v>
      </c>
      <c r="I4" s="4">
        <v>43</v>
      </c>
    </row>
    <row r="5" spans="1:9" x14ac:dyDescent="0.25">
      <c r="A5" s="3" t="str">
        <v>RN 1</v>
      </c>
      <c r="B5" s="3" t="str">
        <v>Biloxi</v>
      </c>
      <c r="C5" s="4">
        <v>2</v>
      </c>
      <c r="D5" s="4" t="str">
        <v>Yes</v>
      </c>
      <c r="H5" s="3" t="str">
        <v>RN 4</v>
      </c>
      <c r="I5" s="4">
        <v>44</v>
      </c>
    </row>
    <row r="6" spans="1:9" x14ac:dyDescent="0.25">
      <c r="A6" s="3" t="str">
        <v>RN 10</v>
      </c>
      <c r="B6" s="3" t="str">
        <v>Tucson</v>
      </c>
      <c r="C6" s="4">
        <v>14</v>
      </c>
      <c r="D6" s="4" t="str">
        <v>No</v>
      </c>
      <c r="H6" s="3" t="str">
        <v>RN 5</v>
      </c>
      <c r="I6" s="4">
        <v>44</v>
      </c>
    </row>
    <row r="7" spans="1:9" x14ac:dyDescent="0.25">
      <c r="A7" s="3" t="str">
        <v>RN 10</v>
      </c>
      <c r="B7" s="3" t="str">
        <v>Ann Arbor</v>
      </c>
      <c r="C7" s="4">
        <v>10</v>
      </c>
      <c r="D7" s="4" t="str">
        <v>No</v>
      </c>
      <c r="H7" s="3" t="str">
        <v>RN 6</v>
      </c>
      <c r="I7" s="4">
        <v>43</v>
      </c>
    </row>
    <row r="8" spans="1:9" x14ac:dyDescent="0.25">
      <c r="A8" s="3" t="str">
        <v>RN 10</v>
      </c>
      <c r="B8" s="3" t="str">
        <v>Mountain Home</v>
      </c>
      <c r="C8" s="4">
        <v>9</v>
      </c>
      <c r="D8" s="4" t="str">
        <v>Yes</v>
      </c>
      <c r="H8" s="3" t="str">
        <v>RN 7</v>
      </c>
      <c r="I8" s="4">
        <v>43</v>
      </c>
    </row>
    <row r="9" spans="1:9" x14ac:dyDescent="0.25">
      <c r="A9" s="3" t="str">
        <v>RN 10</v>
      </c>
      <c r="B9" s="3" t="str">
        <v>Connecticut</v>
      </c>
      <c r="C9" s="4">
        <v>5</v>
      </c>
      <c r="D9" s="4" t="str">
        <v>No</v>
      </c>
      <c r="H9" s="3" t="str">
        <v>RN 8</v>
      </c>
      <c r="I9" s="4">
        <v>44</v>
      </c>
    </row>
    <row r="10" spans="1:9" x14ac:dyDescent="0.25">
      <c r="A10" s="3" t="str">
        <v>RN 10</v>
      </c>
      <c r="B10" s="3" t="str">
        <v>Togus</v>
      </c>
      <c r="C10" s="4">
        <v>4</v>
      </c>
      <c r="D10" s="4" t="str">
        <v>Yes</v>
      </c>
      <c r="H10" s="3" t="str">
        <v>RN 9</v>
      </c>
      <c r="I10" s="4">
        <v>44</v>
      </c>
    </row>
    <row r="11" spans="1:9" x14ac:dyDescent="0.25">
      <c r="A11" s="3" t="str">
        <v>RN 10</v>
      </c>
      <c r="B11" s="3" t="str">
        <v>Fayetteville, AR</v>
      </c>
      <c r="C11" s="4">
        <v>1</v>
      </c>
      <c r="D11" s="4" t="str">
        <v>Yes</v>
      </c>
      <c r="H11" s="3" t="str">
        <v>RN 10</v>
      </c>
      <c r="I11" s="4">
        <v>44</v>
      </c>
    </row>
    <row r="12" spans="1:9" x14ac:dyDescent="0.25">
      <c r="A12" s="3" t="str">
        <v>RN 10</v>
      </c>
      <c r="B12" s="3" t="str">
        <v>Shreveport</v>
      </c>
      <c r="C12" s="4">
        <v>1</v>
      </c>
      <c r="D12" s="4" t="str">
        <v>No</v>
      </c>
      <c r="H12" s="3" t="str">
        <v>RN 11</v>
      </c>
      <c r="I12" s="4">
        <v>43</v>
      </c>
    </row>
    <row r="13" spans="1:9" x14ac:dyDescent="0.25">
      <c r="A13" s="3" t="str">
        <v>RN 11</v>
      </c>
      <c r="B13" s="3" t="str">
        <v>Memphis</v>
      </c>
      <c r="C13" s="4">
        <v>13</v>
      </c>
      <c r="D13" s="4" t="str">
        <v>No</v>
      </c>
      <c r="H13" s="3" t="str">
        <v>RN 12</v>
      </c>
      <c r="I13" s="4">
        <v>43</v>
      </c>
    </row>
    <row r="14" spans="1:9" x14ac:dyDescent="0.25">
      <c r="A14" s="3" t="str">
        <v>RN 11</v>
      </c>
      <c r="B14" s="3" t="str">
        <v>Clarksburg</v>
      </c>
      <c r="C14" s="4">
        <v>11</v>
      </c>
      <c r="D14" s="4" t="str">
        <v>Yes</v>
      </c>
      <c r="H14" s="3" t="str">
        <v>RN 13</v>
      </c>
      <c r="I14" s="4">
        <v>43</v>
      </c>
    </row>
    <row r="15" spans="1:9" x14ac:dyDescent="0.25">
      <c r="A15" s="3" t="str">
        <v>RN 11</v>
      </c>
      <c r="B15" s="3" t="str">
        <v>Amarillo</v>
      </c>
      <c r="C15" s="4">
        <v>8</v>
      </c>
      <c r="D15" s="4" t="str">
        <v>No</v>
      </c>
      <c r="H15" s="3" t="str">
        <v>RN 14</v>
      </c>
      <c r="I15" s="4">
        <v>43</v>
      </c>
    </row>
    <row r="16" spans="1:9" x14ac:dyDescent="0.25">
      <c r="A16" s="3" t="str">
        <v>RN 11</v>
      </c>
      <c r="B16" s="3" t="str">
        <v>Atlanta</v>
      </c>
      <c r="C16" s="4">
        <v>6</v>
      </c>
      <c r="D16" s="4" t="str">
        <v>No</v>
      </c>
      <c r="H16" s="3"/>
      <c r="I16" s="4"/>
    </row>
    <row r="17" spans="1:9" x14ac:dyDescent="0.25">
      <c r="A17" s="3" t="str">
        <v>RN 11</v>
      </c>
      <c r="B17" s="3" t="str">
        <v>Central Alabama</v>
      </c>
      <c r="C17" s="4">
        <v>3</v>
      </c>
      <c r="D17" s="4" t="str">
        <v>Yes</v>
      </c>
      <c r="H17" s="3"/>
      <c r="I17" s="4"/>
    </row>
    <row r="18" spans="1:9" x14ac:dyDescent="0.25">
      <c r="A18" s="3" t="str">
        <v>RN 11</v>
      </c>
      <c r="B18" s="3" t="str">
        <v>Marion</v>
      </c>
      <c r="C18" s="4">
        <v>2</v>
      </c>
      <c r="D18" s="4" t="str">
        <v>Yes</v>
      </c>
    </row>
    <row r="19" spans="1:9" x14ac:dyDescent="0.25">
      <c r="A19" s="3" t="str">
        <v>RN 12</v>
      </c>
      <c r="B19" s="3" t="str">
        <v>Palo Alto</v>
      </c>
      <c r="C19" s="4">
        <v>13</v>
      </c>
      <c r="D19" s="4" t="str">
        <v>No</v>
      </c>
    </row>
    <row r="20" spans="1:9" x14ac:dyDescent="0.25">
      <c r="A20" s="3" t="str">
        <v>RN 12</v>
      </c>
      <c r="B20" s="3" t="str">
        <v>Asheville</v>
      </c>
      <c r="C20" s="4">
        <v>11</v>
      </c>
      <c r="D20" s="4" t="str">
        <v>Yes</v>
      </c>
    </row>
    <row r="21" spans="1:9" x14ac:dyDescent="0.25">
      <c r="A21" s="3" t="str">
        <v>RN 12</v>
      </c>
      <c r="B21" s="3" t="str">
        <v>Fresno</v>
      </c>
      <c r="C21" s="4">
        <v>8</v>
      </c>
      <c r="D21" s="4" t="str">
        <v>No</v>
      </c>
    </row>
    <row r="22" spans="1:9" x14ac:dyDescent="0.25">
      <c r="A22" s="3" t="str">
        <v>RN 12</v>
      </c>
      <c r="B22" s="3" t="str">
        <v>Detroit</v>
      </c>
      <c r="C22" s="4">
        <v>6</v>
      </c>
      <c r="D22" s="4" t="str">
        <v>Yes</v>
      </c>
    </row>
    <row r="23" spans="1:9" x14ac:dyDescent="0.25">
      <c r="A23" s="3" t="str">
        <v>RN 12</v>
      </c>
      <c r="B23" s="3" t="str">
        <v>Wilmington</v>
      </c>
      <c r="C23" s="4">
        <v>3</v>
      </c>
      <c r="D23" s="4" t="str">
        <v>Yes</v>
      </c>
    </row>
    <row r="24" spans="1:9" x14ac:dyDescent="0.25">
      <c r="A24" s="3" t="str">
        <v>RN 12</v>
      </c>
      <c r="B24" s="3" t="str">
        <v>Jackson</v>
      </c>
      <c r="C24" s="4">
        <v>2</v>
      </c>
      <c r="D24" s="4" t="str">
        <v>No</v>
      </c>
    </row>
    <row r="25" spans="1:9" x14ac:dyDescent="0.25">
      <c r="A25" s="3" t="str">
        <v>RN 13</v>
      </c>
      <c r="B25" s="3" t="str">
        <v>Kansas City</v>
      </c>
      <c r="C25" s="4">
        <v>13</v>
      </c>
      <c r="D25" s="4" t="str">
        <v>No</v>
      </c>
    </row>
    <row r="26" spans="1:9" x14ac:dyDescent="0.25">
      <c r="A26" s="3" t="str">
        <v>RN 13</v>
      </c>
      <c r="B26" s="3" t="str">
        <v>Birmingham</v>
      </c>
      <c r="C26" s="4">
        <v>12</v>
      </c>
      <c r="D26" s="4" t="str">
        <v>No</v>
      </c>
    </row>
    <row r="27" spans="1:9" x14ac:dyDescent="0.25">
      <c r="A27" s="3" t="str">
        <v>RN 13</v>
      </c>
      <c r="B27" s="3" t="str">
        <v>BUF-Upstate New York</v>
      </c>
      <c r="C27" s="4">
        <v>7</v>
      </c>
      <c r="D27" s="4" t="str">
        <v>No</v>
      </c>
    </row>
    <row r="28" spans="1:9" x14ac:dyDescent="0.25">
      <c r="A28" s="3" t="str">
        <v>RN 13</v>
      </c>
      <c r="B28" s="3" t="str">
        <v>Phoenix</v>
      </c>
      <c r="C28" s="4">
        <v>6</v>
      </c>
      <c r="D28" s="4" t="str">
        <v>No</v>
      </c>
    </row>
    <row r="29" spans="1:9" x14ac:dyDescent="0.25">
      <c r="A29" s="3" t="str">
        <v>RN 13</v>
      </c>
      <c r="B29" s="3" t="str">
        <v>Huntington</v>
      </c>
      <c r="C29" s="4">
        <v>3</v>
      </c>
      <c r="D29" s="4" t="str">
        <v>No</v>
      </c>
    </row>
    <row r="30" spans="1:9" x14ac:dyDescent="0.25">
      <c r="A30" s="3" t="str">
        <v>RN 13</v>
      </c>
      <c r="B30" s="3" t="str">
        <v>ALN-Upstate New York</v>
      </c>
      <c r="C30" s="4">
        <v>2</v>
      </c>
      <c r="D30" s="4" t="str">
        <v>No</v>
      </c>
    </row>
    <row r="31" spans="1:9" x14ac:dyDescent="0.25">
      <c r="A31" s="3" t="str">
        <v>RN 14</v>
      </c>
      <c r="B31" s="3" t="str">
        <v>Richmond</v>
      </c>
      <c r="C31" s="4">
        <v>12</v>
      </c>
      <c r="D31" s="4" t="str">
        <v>No</v>
      </c>
    </row>
    <row r="32" spans="1:9" x14ac:dyDescent="0.25">
      <c r="A32" s="3" t="str">
        <v>RN 14</v>
      </c>
      <c r="B32" s="3" t="str">
        <v>NYN-New York Harbor</v>
      </c>
      <c r="C32" s="4">
        <v>12</v>
      </c>
      <c r="D32" s="4" t="str">
        <v>No</v>
      </c>
    </row>
    <row r="33" spans="1:4" x14ac:dyDescent="0.25">
      <c r="A33" s="3" t="str">
        <v>RN 14</v>
      </c>
      <c r="B33" s="3" t="str">
        <v>Denver</v>
      </c>
      <c r="C33" s="4">
        <v>8</v>
      </c>
      <c r="D33" s="4" t="str">
        <v>No</v>
      </c>
    </row>
    <row r="34" spans="1:4" x14ac:dyDescent="0.25">
      <c r="A34" s="3" t="str">
        <v>RN 14</v>
      </c>
      <c r="B34" s="3" t="str">
        <v>New Orleans</v>
      </c>
      <c r="C34" s="4">
        <v>6</v>
      </c>
      <c r="D34" s="4" t="str">
        <v>No</v>
      </c>
    </row>
    <row r="35" spans="1:4" x14ac:dyDescent="0.25">
      <c r="A35" s="3" t="str">
        <v>RN 14</v>
      </c>
      <c r="B35" s="3" t="str">
        <v>Salisbury</v>
      </c>
      <c r="C35" s="4">
        <v>3</v>
      </c>
      <c r="D35" s="4" t="str">
        <v>Yes</v>
      </c>
    </row>
    <row r="36" spans="1:4" x14ac:dyDescent="0.25">
      <c r="A36" s="3" t="str">
        <v>RN 14</v>
      </c>
      <c r="B36" s="3" t="str">
        <v>Sioux Falls</v>
      </c>
      <c r="C36" s="4">
        <v>2</v>
      </c>
      <c r="D36" s="4" t="str">
        <v>Yes</v>
      </c>
    </row>
    <row r="37" spans="1:4" x14ac:dyDescent="0.25">
      <c r="A37" s="3" t="str">
        <v>RN 2</v>
      </c>
      <c r="B37" s="3" t="str">
        <v>West Los Angeles</v>
      </c>
      <c r="C37" s="4">
        <v>31</v>
      </c>
      <c r="D37" s="4" t="str">
        <v>No</v>
      </c>
    </row>
    <row r="38" spans="1:4" x14ac:dyDescent="0.25">
      <c r="A38" s="3" t="str">
        <v>RN 2</v>
      </c>
      <c r="B38" s="3" t="str">
        <v>Las Vegas</v>
      </c>
      <c r="C38" s="4">
        <v>6</v>
      </c>
      <c r="D38" s="4" t="str">
        <v>No</v>
      </c>
    </row>
    <row r="39" spans="1:4" x14ac:dyDescent="0.25">
      <c r="A39" s="3" t="str">
        <v>RN 2</v>
      </c>
      <c r="B39" s="3" t="str">
        <v>Dayton</v>
      </c>
      <c r="C39" s="4">
        <v>4</v>
      </c>
      <c r="D39" s="4" t="str">
        <v>No</v>
      </c>
    </row>
    <row r="40" spans="1:4" x14ac:dyDescent="0.25">
      <c r="A40" s="3" t="str">
        <v>RN 2</v>
      </c>
      <c r="B40" s="3" t="str">
        <v>Beckley</v>
      </c>
      <c r="C40" s="4">
        <v>2</v>
      </c>
      <c r="D40" s="4" t="str">
        <v>Yes</v>
      </c>
    </row>
    <row r="41" spans="1:4" x14ac:dyDescent="0.25">
      <c r="A41" s="3" t="str">
        <v>RN 3</v>
      </c>
      <c r="B41" s="3" t="str">
        <v>Houston</v>
      </c>
      <c r="C41" s="4">
        <v>30</v>
      </c>
      <c r="D41" s="4" t="str">
        <v>No</v>
      </c>
    </row>
    <row r="42" spans="1:4" x14ac:dyDescent="0.25">
      <c r="A42" s="3" t="str">
        <v>RN 3</v>
      </c>
      <c r="B42" s="3" t="str">
        <v>SYR-Upstate New York</v>
      </c>
      <c r="C42" s="4">
        <v>6</v>
      </c>
      <c r="D42" s="4" t="str">
        <v>No</v>
      </c>
    </row>
    <row r="43" spans="1:4" x14ac:dyDescent="0.25">
      <c r="A43" s="3" t="str">
        <v>RN 3</v>
      </c>
      <c r="B43" s="3" t="str">
        <v>Des Moines</v>
      </c>
      <c r="C43" s="4">
        <v>5</v>
      </c>
      <c r="D43" s="4" t="str">
        <v>No</v>
      </c>
    </row>
    <row r="44" spans="1:4" x14ac:dyDescent="0.25">
      <c r="A44" s="3" t="str">
        <v>RN 3</v>
      </c>
      <c r="B44" s="3" t="str">
        <v>Martinsburg</v>
      </c>
      <c r="C44" s="4">
        <v>2</v>
      </c>
      <c r="D44" s="4" t="str">
        <v>Yes</v>
      </c>
    </row>
    <row r="45" spans="1:4" x14ac:dyDescent="0.25">
      <c r="A45" s="3" t="str">
        <v>RN 3</v>
      </c>
      <c r="B45" s="3" t="str">
        <v>Fort Harrison</v>
      </c>
      <c r="C45" s="4">
        <v>0</v>
      </c>
      <c r="D45" s="4" t="str">
        <v>Yes</v>
      </c>
    </row>
    <row r="46" spans="1:4" x14ac:dyDescent="0.25">
      <c r="A46" s="3" t="str">
        <v>RN 3</v>
      </c>
      <c r="B46" s="3" t="str">
        <v>Northern Indiana</v>
      </c>
      <c r="C46" s="4">
        <v>0</v>
      </c>
      <c r="D46" s="4" t="str">
        <v>No</v>
      </c>
    </row>
    <row r="47" spans="1:4" x14ac:dyDescent="0.25">
      <c r="A47" s="3" t="str">
        <v>RN 3</v>
      </c>
      <c r="B47" s="3" t="str">
        <v>Black Hills</v>
      </c>
      <c r="C47" s="4">
        <v>0</v>
      </c>
      <c r="D47" s="4" t="str">
        <v>Yes</v>
      </c>
    </row>
    <row r="48" spans="1:4" x14ac:dyDescent="0.25">
      <c r="A48" s="3" t="str">
        <v>RN 4</v>
      </c>
      <c r="B48" s="3" t="str">
        <v>Little Rock</v>
      </c>
      <c r="C48" s="4">
        <v>26</v>
      </c>
      <c r="D48" s="4" t="str">
        <v>No</v>
      </c>
    </row>
    <row r="49" spans="1:4" x14ac:dyDescent="0.25">
      <c r="A49" s="3" t="str">
        <v>RN 4</v>
      </c>
      <c r="B49" s="3" t="str">
        <v>Iowa City</v>
      </c>
      <c r="C49" s="4">
        <v>6</v>
      </c>
      <c r="D49" s="4" t="str">
        <v>No</v>
      </c>
    </row>
    <row r="50" spans="1:4" x14ac:dyDescent="0.25">
      <c r="A50" s="3" t="str">
        <v>RN 4</v>
      </c>
      <c r="B50" s="3" t="str">
        <v>Muskogee</v>
      </c>
      <c r="C50" s="4">
        <v>6</v>
      </c>
      <c r="D50" s="4" t="str">
        <v>Yes</v>
      </c>
    </row>
    <row r="51" spans="1:4" x14ac:dyDescent="0.25">
      <c r="A51" s="3" t="str">
        <v>RN 4</v>
      </c>
      <c r="B51" s="3" t="str">
        <v>Grand Junction</v>
      </c>
      <c r="C51" s="4">
        <v>3</v>
      </c>
      <c r="D51" s="4" t="str">
        <v>Yes</v>
      </c>
    </row>
    <row r="52" spans="1:4" x14ac:dyDescent="0.25">
      <c r="A52" s="3" t="str">
        <v>RN 4</v>
      </c>
      <c r="B52" s="3" t="str">
        <v>Albuquerque</v>
      </c>
      <c r="C52" s="4">
        <v>3</v>
      </c>
      <c r="D52" s="4" t="str">
        <v>No</v>
      </c>
    </row>
    <row r="53" spans="1:4" x14ac:dyDescent="0.25">
      <c r="A53" s="3" t="str">
        <v>RN 5</v>
      </c>
      <c r="B53" s="3" t="str">
        <v>Oklahoma City</v>
      </c>
      <c r="C53" s="4">
        <v>17</v>
      </c>
      <c r="D53" s="4" t="str">
        <v>No</v>
      </c>
    </row>
    <row r="54" spans="1:4" x14ac:dyDescent="0.25">
      <c r="A54" s="3" t="str">
        <v>RN 5</v>
      </c>
      <c r="B54" s="3" t="str">
        <v>Minneapolis</v>
      </c>
      <c r="C54" s="4">
        <v>9</v>
      </c>
      <c r="D54" s="4" t="str">
        <v>No</v>
      </c>
    </row>
    <row r="55" spans="1:4" x14ac:dyDescent="0.25">
      <c r="A55" s="3" t="str">
        <v>RN 5</v>
      </c>
      <c r="B55" s="3" t="str">
        <v>St. Louis</v>
      </c>
      <c r="C55" s="4">
        <v>7</v>
      </c>
      <c r="D55" s="4" t="str">
        <v>No</v>
      </c>
    </row>
    <row r="56" spans="1:4" x14ac:dyDescent="0.25">
      <c r="A56" s="3" t="str">
        <v>RN 5</v>
      </c>
      <c r="B56" s="3" t="str">
        <v>Reno</v>
      </c>
      <c r="C56" s="4">
        <v>5</v>
      </c>
      <c r="D56" s="4" t="str">
        <v>No</v>
      </c>
    </row>
    <row r="57" spans="1:4" x14ac:dyDescent="0.25">
      <c r="A57" s="3" t="str">
        <v>RN 5</v>
      </c>
      <c r="B57" s="3" t="str">
        <v>North Florida/South Georgia</v>
      </c>
      <c r="C57" s="4">
        <v>4</v>
      </c>
      <c r="D57" s="4" t="str">
        <v>Yes</v>
      </c>
    </row>
    <row r="58" spans="1:4" x14ac:dyDescent="0.25">
      <c r="A58" s="3" t="str">
        <v>RN 5</v>
      </c>
      <c r="B58" s="3" t="str">
        <v>Topeka</v>
      </c>
      <c r="C58" s="4">
        <v>1</v>
      </c>
      <c r="D58" s="4" t="str">
        <v>Yes</v>
      </c>
    </row>
    <row r="59" spans="1:4" x14ac:dyDescent="0.25">
      <c r="A59" s="3" t="str">
        <v>RN 5</v>
      </c>
      <c r="B59" s="3" t="str">
        <v>Leavenworth</v>
      </c>
      <c r="C59" s="4">
        <v>1</v>
      </c>
      <c r="D59" s="4" t="str">
        <v>Yes</v>
      </c>
    </row>
    <row r="60" spans="1:4" x14ac:dyDescent="0.25">
      <c r="A60" s="3" t="str">
        <v>RN 6</v>
      </c>
      <c r="B60" s="3" t="str">
        <v>Cleveland</v>
      </c>
      <c r="C60" s="4">
        <v>17</v>
      </c>
      <c r="D60" s="4" t="str">
        <v>No</v>
      </c>
    </row>
    <row r="61" spans="1:4" x14ac:dyDescent="0.25">
      <c r="A61" s="3" t="str">
        <v>RN 6</v>
      </c>
      <c r="B61" s="3" t="str">
        <v>Indianapolis</v>
      </c>
      <c r="C61" s="4">
        <v>9</v>
      </c>
      <c r="D61" s="4" t="str">
        <v>No</v>
      </c>
    </row>
    <row r="62" spans="1:4" x14ac:dyDescent="0.25">
      <c r="A62" s="3" t="str">
        <v>RN 6</v>
      </c>
      <c r="B62" s="3" t="str">
        <v>Augusta</v>
      </c>
      <c r="C62" s="4">
        <v>7</v>
      </c>
      <c r="D62" s="4" t="str">
        <v>No</v>
      </c>
    </row>
    <row r="63" spans="1:4" x14ac:dyDescent="0.25">
      <c r="A63" s="3" t="str">
        <v>RN 6</v>
      </c>
      <c r="B63" s="3" t="str">
        <v>BYN-New York Harbor</v>
      </c>
      <c r="C63" s="4">
        <v>5</v>
      </c>
      <c r="D63" s="4" t="str">
        <v>No</v>
      </c>
    </row>
    <row r="64" spans="1:4" x14ac:dyDescent="0.25">
      <c r="A64" s="3" t="str">
        <v>RN 6</v>
      </c>
      <c r="B64" s="3" t="str">
        <v>Lebanon</v>
      </c>
      <c r="C64" s="4">
        <v>4</v>
      </c>
      <c r="D64" s="4" t="str">
        <v>Yes</v>
      </c>
    </row>
    <row r="65" spans="1:4" x14ac:dyDescent="0.25">
      <c r="A65" s="3" t="str">
        <v>RN 6</v>
      </c>
      <c r="B65" s="3" t="str">
        <v>Nellis AFB</v>
      </c>
      <c r="C65" s="4">
        <v>1</v>
      </c>
      <c r="D65" s="4" t="str">
        <v>No</v>
      </c>
    </row>
    <row r="66" spans="1:4" x14ac:dyDescent="0.25">
      <c r="A66" s="3" t="str">
        <v>RN 6</v>
      </c>
      <c r="B66" s="3" t="str">
        <v>Fargo</v>
      </c>
      <c r="C66" s="4">
        <v>0</v>
      </c>
      <c r="D66" s="4" t="str">
        <v>Yes</v>
      </c>
    </row>
    <row r="67" spans="1:4" x14ac:dyDescent="0.25">
      <c r="A67" s="3" t="str">
        <v>RN 7</v>
      </c>
      <c r="B67" s="3" t="str">
        <v>Baltimore</v>
      </c>
      <c r="C67" s="4">
        <v>17</v>
      </c>
      <c r="D67" s="4" t="str">
        <v>No</v>
      </c>
    </row>
    <row r="68" spans="1:4" x14ac:dyDescent="0.25">
      <c r="A68" s="3" t="str">
        <v>RN 7</v>
      </c>
      <c r="B68" s="3" t="str">
        <v>Bronx</v>
      </c>
      <c r="C68" s="4">
        <v>9</v>
      </c>
      <c r="D68" s="4" t="str">
        <v>Yes</v>
      </c>
    </row>
    <row r="69" spans="1:4" x14ac:dyDescent="0.25">
      <c r="A69" s="3" t="str">
        <v>RN 7</v>
      </c>
      <c r="B69" s="3" t="str">
        <v>Sacramento</v>
      </c>
      <c r="C69" s="4">
        <v>7</v>
      </c>
      <c r="D69" s="4" t="str">
        <v>No</v>
      </c>
    </row>
    <row r="70" spans="1:4" x14ac:dyDescent="0.25">
      <c r="A70" s="3" t="str">
        <v>RN 7</v>
      </c>
      <c r="B70" s="3" t="str">
        <v>New Jersey</v>
      </c>
      <c r="C70" s="4">
        <v>5</v>
      </c>
      <c r="D70" s="4" t="str">
        <v>No</v>
      </c>
    </row>
    <row r="71" spans="1:4" x14ac:dyDescent="0.25">
      <c r="A71" s="3" t="str">
        <v>RN 7</v>
      </c>
      <c r="B71" s="3" t="str">
        <v>White River Junction</v>
      </c>
      <c r="C71" s="4">
        <v>3</v>
      </c>
      <c r="D71" s="4" t="str">
        <v>No</v>
      </c>
    </row>
    <row r="72" spans="1:4" x14ac:dyDescent="0.25">
      <c r="A72" s="3" t="str">
        <v>RN 7</v>
      </c>
      <c r="B72" s="3" t="str">
        <v>Temple (Central Texas)</v>
      </c>
      <c r="C72" s="4">
        <v>2</v>
      </c>
      <c r="D72" s="4" t="str">
        <v>Yes</v>
      </c>
    </row>
    <row r="73" spans="1:4" x14ac:dyDescent="0.25">
      <c r="A73" s="3" t="str">
        <v>RN 8</v>
      </c>
      <c r="B73" s="3" t="str">
        <v>Loma Linda</v>
      </c>
      <c r="C73" s="4">
        <v>16</v>
      </c>
      <c r="D73" s="4" t="str">
        <v>No</v>
      </c>
    </row>
    <row r="74" spans="1:4" x14ac:dyDescent="0.25">
      <c r="A74" s="3" t="str">
        <v>RN 8</v>
      </c>
      <c r="B74" s="3" t="str">
        <v>Washington DC</v>
      </c>
      <c r="C74" s="4">
        <v>9</v>
      </c>
      <c r="D74" s="4" t="str">
        <v>No</v>
      </c>
    </row>
    <row r="75" spans="1:4" x14ac:dyDescent="0.25">
      <c r="A75" s="3" t="str">
        <v>RN 8</v>
      </c>
      <c r="B75" s="3" t="str">
        <v>Cincinnati</v>
      </c>
      <c r="C75" s="4">
        <v>8</v>
      </c>
      <c r="D75" s="4" t="str">
        <v>No</v>
      </c>
    </row>
    <row r="76" spans="1:4" x14ac:dyDescent="0.25">
      <c r="A76" s="3" t="str">
        <v>RN 8</v>
      </c>
      <c r="B76" s="3" t="str">
        <v>Columbia, MO</v>
      </c>
      <c r="C76" s="4">
        <v>5</v>
      </c>
      <c r="D76" s="4" t="str">
        <v>No</v>
      </c>
    </row>
    <row r="77" spans="1:4" x14ac:dyDescent="0.25">
      <c r="A77" s="3" t="str">
        <v>RN 8</v>
      </c>
      <c r="B77" s="3" t="str">
        <v>Wilkes-Barre</v>
      </c>
      <c r="C77" s="4">
        <v>4</v>
      </c>
      <c r="D77" s="4" t="str">
        <v>No</v>
      </c>
    </row>
    <row r="78" spans="1:4" x14ac:dyDescent="0.25">
      <c r="A78" s="3" t="str">
        <v>RN 8</v>
      </c>
      <c r="B78" s="3" t="str">
        <v>Fayetteville, NC</v>
      </c>
      <c r="C78" s="4">
        <v>1</v>
      </c>
      <c r="D78" s="4" t="str">
        <v>No</v>
      </c>
    </row>
    <row r="79" spans="1:4" x14ac:dyDescent="0.25">
      <c r="A79" s="3" t="str">
        <v>RN 8</v>
      </c>
      <c r="B79" s="3" t="str">
        <v>Boise</v>
      </c>
      <c r="C79" s="4">
        <v>1</v>
      </c>
      <c r="D79" s="4" t="str">
        <v>No</v>
      </c>
    </row>
    <row r="80" spans="1:4" x14ac:dyDescent="0.25">
      <c r="A80" s="3" t="str">
        <v>RN 9</v>
      </c>
      <c r="B80" s="3" t="str">
        <v>Bay Pines</v>
      </c>
      <c r="C80" s="4">
        <v>15</v>
      </c>
      <c r="D80" s="4" t="str">
        <v>No</v>
      </c>
    </row>
    <row r="81" spans="1:4" x14ac:dyDescent="0.25">
      <c r="A81" s="3" t="str">
        <v>RN 9</v>
      </c>
      <c r="B81" s="3" t="str">
        <v>Orlando</v>
      </c>
      <c r="C81" s="4">
        <v>10</v>
      </c>
      <c r="D81" s="4" t="str">
        <v>No</v>
      </c>
    </row>
    <row r="82" spans="1:4" x14ac:dyDescent="0.25">
      <c r="A82" s="3" t="str">
        <v>RN 9</v>
      </c>
      <c r="B82" s="3" t="str">
        <v>Omaha</v>
      </c>
      <c r="C82" s="4">
        <v>8</v>
      </c>
      <c r="D82" s="4" t="str">
        <v>No</v>
      </c>
    </row>
    <row r="83" spans="1:4" x14ac:dyDescent="0.25">
      <c r="A83" s="3" t="str">
        <v>RN 9</v>
      </c>
      <c r="B83" s="3" t="str">
        <v>Wichita</v>
      </c>
      <c r="C83" s="4">
        <v>5</v>
      </c>
      <c r="D83" s="4" t="str">
        <v>Yes</v>
      </c>
    </row>
    <row r="84" spans="1:4" x14ac:dyDescent="0.25">
      <c r="A84" s="3" t="str">
        <v>RN 9</v>
      </c>
      <c r="B84" s="3" t="str">
        <v>Northport</v>
      </c>
      <c r="C84" s="4">
        <v>4</v>
      </c>
      <c r="D84" s="4" t="str">
        <v>No</v>
      </c>
    </row>
    <row r="85" spans="1:4" x14ac:dyDescent="0.25">
      <c r="A85" s="3" t="str">
        <v>RN 9</v>
      </c>
      <c r="B85" s="3" t="str">
        <v>Spokane</v>
      </c>
      <c r="C85" s="4">
        <v>1</v>
      </c>
      <c r="D85" s="4" t="str">
        <v>No</v>
      </c>
    </row>
    <row r="86" spans="1:4" x14ac:dyDescent="0.25">
      <c r="A86" s="3" t="str">
        <v>RN 9</v>
      </c>
      <c r="B86" s="3" t="str">
        <v>Cheyenne</v>
      </c>
      <c r="C86" s="4">
        <v>1</v>
      </c>
      <c r="D86" s="4" t="str">
        <v>Yes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01FF-C8E5-4147-AEF0-D3EB6FC0765E}">
  <dimension ref="A1:Q85"/>
  <sheetViews>
    <sheetView tabSelected="1" workbookViewId="0"/>
  </sheetViews>
  <sheetFormatPr defaultRowHeight="15" x14ac:dyDescent="0.25"/>
  <cols>
    <col min="1" max="1" width="10.140625" customWidth="1"/>
    <col min="2" max="2" width="9" style="1" customWidth="1"/>
    <col min="3" max="3" width="27.140625" customWidth="1"/>
    <col min="4" max="4" width="14.7109375" style="1" customWidth="1"/>
    <col min="6" max="6" width="4.28515625" customWidth="1"/>
    <col min="7" max="7" width="3.42578125" customWidth="1"/>
    <col min="8" max="8" width="17.28515625" bestFit="1" customWidth="1"/>
    <col min="9" max="9" width="16.85546875" style="1" customWidth="1"/>
    <col min="10" max="10" width="13" style="1" bestFit="1" customWidth="1"/>
    <col min="13" max="13" width="9.42578125" bestFit="1" customWidth="1"/>
  </cols>
  <sheetData>
    <row r="1" spans="1:17" ht="18.75" x14ac:dyDescent="0.3">
      <c r="A1" s="5" t="str" cm="1">
        <f t="array" ref="A1:D85">_xlfn._xlws.PY(2,0,SiteTable[#All],InputTable[#All])</f>
        <v>Team</v>
      </c>
      <c r="B1" s="6" t="str">
        <v>Cat</v>
      </c>
      <c r="C1" s="5" t="str">
        <v>Site</v>
      </c>
      <c r="D1" s="6" t="str">
        <v>Census</v>
      </c>
      <c r="H1" s="5" t="str" cm="1">
        <f t="array" ref="H1:J5">_xlfn._xlws.PY(3,0,SiteTable[#All],InputTable[#All])</f>
        <v>Provider Team</v>
      </c>
      <c r="I1" s="6" t="str">
        <v>Total Patients</v>
      </c>
      <c r="J1" s="6" t="str">
        <v>Total Sites</v>
      </c>
      <c r="M1" s="5" t="str" cm="1">
        <f t="array" ref="M1:Q5">_xlfn._xlws.PY(4,0,SiteTable[#All],InputTable[#All])</f>
        <v>Team</v>
      </c>
      <c r="N1" s="6" t="str">
        <v>Cat 1</v>
      </c>
      <c r="O1" s="6" t="str">
        <v>Cat 2</v>
      </c>
      <c r="P1" s="6" t="str">
        <v>Cat 3</v>
      </c>
      <c r="Q1" s="6" t="str">
        <v>Cat 4</v>
      </c>
    </row>
    <row r="2" spans="1:17" x14ac:dyDescent="0.25">
      <c r="A2" s="3" t="str">
        <v>Team 1</v>
      </c>
      <c r="B2" s="4">
        <v>1</v>
      </c>
      <c r="C2" s="3" t="str">
        <v>Beckley</v>
      </c>
      <c r="D2" s="4">
        <v>2</v>
      </c>
      <c r="H2" s="3" t="str">
        <v>Team 1</v>
      </c>
      <c r="I2" s="4">
        <v>150</v>
      </c>
      <c r="J2" s="4">
        <v>25</v>
      </c>
      <c r="M2" s="3" t="str">
        <v>Team 1</v>
      </c>
      <c r="N2" s="4">
        <v>9</v>
      </c>
      <c r="O2" s="4">
        <v>11</v>
      </c>
      <c r="P2" s="4">
        <v>109</v>
      </c>
      <c r="Q2" s="4">
        <v>21</v>
      </c>
    </row>
    <row r="3" spans="1:17" x14ac:dyDescent="0.25">
      <c r="A3" s="3" t="str">
        <v>Team 1</v>
      </c>
      <c r="B3" s="4">
        <v>1</v>
      </c>
      <c r="C3" s="3" t="str">
        <v>Hampton</v>
      </c>
      <c r="D3" s="4">
        <v>4</v>
      </c>
      <c r="H3" s="3" t="str">
        <v>Team 2</v>
      </c>
      <c r="I3" s="4">
        <v>161</v>
      </c>
      <c r="J3" s="4">
        <v>18</v>
      </c>
      <c r="M3" s="3" t="str">
        <v>Team 2</v>
      </c>
      <c r="N3" s="4">
        <v>11</v>
      </c>
      <c r="O3" s="4">
        <v>3</v>
      </c>
      <c r="P3" s="4">
        <v>147</v>
      </c>
      <c r="Q3" s="4">
        <v>0</v>
      </c>
    </row>
    <row r="4" spans="1:17" x14ac:dyDescent="0.25">
      <c r="A4" s="3" t="str">
        <v>Team 1</v>
      </c>
      <c r="B4" s="4">
        <v>1</v>
      </c>
      <c r="C4" s="3" t="str">
        <v>Wilmington</v>
      </c>
      <c r="D4" s="4">
        <v>3</v>
      </c>
      <c r="H4" s="3" t="str">
        <v>Team 3</v>
      </c>
      <c r="I4" s="4">
        <v>136</v>
      </c>
      <c r="J4" s="4">
        <v>18</v>
      </c>
      <c r="M4" s="3" t="str">
        <v>Team 3</v>
      </c>
      <c r="N4" s="4">
        <v>7</v>
      </c>
      <c r="O4" s="4">
        <v>0</v>
      </c>
      <c r="P4" s="4">
        <v>127</v>
      </c>
      <c r="Q4" s="4">
        <v>2</v>
      </c>
    </row>
    <row r="5" spans="1:17" x14ac:dyDescent="0.25">
      <c r="A5" s="3" t="str">
        <v>Team 1</v>
      </c>
      <c r="B5" s="4">
        <v>2</v>
      </c>
      <c r="C5" s="3" t="str">
        <v>Clarksburg</v>
      </c>
      <c r="D5" s="4">
        <v>11</v>
      </c>
      <c r="H5" s="3" t="str">
        <v>Team 4</v>
      </c>
      <c r="I5" s="4">
        <v>159</v>
      </c>
      <c r="J5" s="4">
        <v>23</v>
      </c>
      <c r="M5" s="3" t="str">
        <v>Team 4</v>
      </c>
      <c r="N5" s="4">
        <v>9</v>
      </c>
      <c r="O5" s="4">
        <v>2</v>
      </c>
      <c r="P5" s="4">
        <v>148</v>
      </c>
      <c r="Q5" s="4">
        <v>0</v>
      </c>
    </row>
    <row r="6" spans="1:17" x14ac:dyDescent="0.25">
      <c r="A6" s="3" t="str">
        <v>Team 1</v>
      </c>
      <c r="B6" s="4">
        <v>3</v>
      </c>
      <c r="C6" s="3" t="str">
        <v>Augusta</v>
      </c>
      <c r="D6" s="4">
        <v>7</v>
      </c>
    </row>
    <row r="7" spans="1:17" x14ac:dyDescent="0.25">
      <c r="A7" s="3" t="str">
        <v>Team 1</v>
      </c>
      <c r="B7" s="4">
        <v>3</v>
      </c>
      <c r="C7" s="3" t="str">
        <v>Bay Pines</v>
      </c>
      <c r="D7" s="4">
        <v>15</v>
      </c>
    </row>
    <row r="8" spans="1:17" x14ac:dyDescent="0.25">
      <c r="A8" s="3" t="str">
        <v>Team 1</v>
      </c>
      <c r="B8" s="4">
        <v>3</v>
      </c>
      <c r="C8" s="3" t="str">
        <v>Asheville</v>
      </c>
      <c r="D8" s="4">
        <v>11</v>
      </c>
    </row>
    <row r="9" spans="1:17" x14ac:dyDescent="0.25">
      <c r="A9" s="3" t="str">
        <v>Team 1</v>
      </c>
      <c r="B9" s="4">
        <v>3</v>
      </c>
      <c r="C9" s="3" t="str">
        <v>ALN-Upstate New York</v>
      </c>
      <c r="D9" s="4">
        <v>2</v>
      </c>
    </row>
    <row r="10" spans="1:17" x14ac:dyDescent="0.25">
      <c r="A10" s="3" t="str">
        <v>Team 1</v>
      </c>
      <c r="B10" s="4">
        <v>3</v>
      </c>
      <c r="C10" s="3" t="str">
        <v>Dayton</v>
      </c>
      <c r="D10" s="4">
        <v>4</v>
      </c>
    </row>
    <row r="11" spans="1:17" x14ac:dyDescent="0.25">
      <c r="A11" s="3" t="str">
        <v>Team 1</v>
      </c>
      <c r="B11" s="4">
        <v>3</v>
      </c>
      <c r="C11" s="3" t="str">
        <v>BUF-Upstate New York</v>
      </c>
      <c r="D11" s="4">
        <v>7</v>
      </c>
    </row>
    <row r="12" spans="1:17" x14ac:dyDescent="0.25">
      <c r="A12" s="3" t="str">
        <v>Team 1</v>
      </c>
      <c r="B12" s="4">
        <v>3</v>
      </c>
      <c r="C12" s="3" t="str">
        <v>Cincinnati</v>
      </c>
      <c r="D12" s="4">
        <v>8</v>
      </c>
    </row>
    <row r="13" spans="1:17" x14ac:dyDescent="0.25">
      <c r="A13" s="3" t="str">
        <v>Team 1</v>
      </c>
      <c r="B13" s="4">
        <v>3</v>
      </c>
      <c r="C13" s="3" t="str">
        <v>BYN-New York Harbor</v>
      </c>
      <c r="D13" s="4">
        <v>5</v>
      </c>
    </row>
    <row r="14" spans="1:17" x14ac:dyDescent="0.25">
      <c r="A14" s="3" t="str">
        <v>Team 1</v>
      </c>
      <c r="B14" s="4">
        <v>3</v>
      </c>
      <c r="C14" s="3" t="str">
        <v>Connecticut</v>
      </c>
      <c r="D14" s="4">
        <v>5</v>
      </c>
    </row>
    <row r="15" spans="1:17" x14ac:dyDescent="0.25">
      <c r="A15" s="3" t="str">
        <v>Team 1</v>
      </c>
      <c r="B15" s="4">
        <v>3</v>
      </c>
      <c r="C15" s="3" t="str">
        <v>Northern Indiana</v>
      </c>
      <c r="D15" s="4">
        <v>0</v>
      </c>
    </row>
    <row r="16" spans="1:17" x14ac:dyDescent="0.25">
      <c r="A16" s="3" t="str">
        <v>Team 1</v>
      </c>
      <c r="B16" s="4">
        <v>3</v>
      </c>
      <c r="C16" s="3" t="str">
        <v>Huntington</v>
      </c>
      <c r="D16" s="4">
        <v>3</v>
      </c>
    </row>
    <row r="17" spans="1:4" x14ac:dyDescent="0.25">
      <c r="A17" s="3" t="str">
        <v>Team 1</v>
      </c>
      <c r="B17" s="4">
        <v>3</v>
      </c>
      <c r="C17" s="3" t="str">
        <v>Ann Arbor</v>
      </c>
      <c r="D17" s="4">
        <v>10</v>
      </c>
    </row>
    <row r="18" spans="1:4" x14ac:dyDescent="0.25">
      <c r="A18" s="3" t="str">
        <v>Team 1</v>
      </c>
      <c r="B18" s="4">
        <v>3</v>
      </c>
      <c r="C18" s="3" t="str">
        <v>White River Junction</v>
      </c>
      <c r="D18" s="4">
        <v>3</v>
      </c>
    </row>
    <row r="19" spans="1:4" x14ac:dyDescent="0.25">
      <c r="A19" s="3" t="str">
        <v>Team 1</v>
      </c>
      <c r="B19" s="4">
        <v>3</v>
      </c>
      <c r="C19" s="3" t="str">
        <v>Salisbury</v>
      </c>
      <c r="D19" s="4">
        <v>3</v>
      </c>
    </row>
    <row r="20" spans="1:4" x14ac:dyDescent="0.25">
      <c r="A20" s="3" t="str">
        <v>Team 1</v>
      </c>
      <c r="B20" s="4">
        <v>3</v>
      </c>
      <c r="C20" s="3" t="str">
        <v>SYR-Upstate New York</v>
      </c>
      <c r="D20" s="4">
        <v>6</v>
      </c>
    </row>
    <row r="21" spans="1:4" x14ac:dyDescent="0.25">
      <c r="A21" s="3" t="str">
        <v>Team 1</v>
      </c>
      <c r="B21" s="4">
        <v>3</v>
      </c>
      <c r="C21" s="3" t="str">
        <v>Lebanon</v>
      </c>
      <c r="D21" s="4">
        <v>4</v>
      </c>
    </row>
    <row r="22" spans="1:4" x14ac:dyDescent="0.25">
      <c r="A22" s="3" t="str">
        <v>Team 1</v>
      </c>
      <c r="B22" s="4">
        <v>3</v>
      </c>
      <c r="C22" s="3" t="str">
        <v>NYN-New York Harbor</v>
      </c>
      <c r="D22" s="4">
        <v>12</v>
      </c>
    </row>
    <row r="23" spans="1:4" x14ac:dyDescent="0.25">
      <c r="A23" s="3" t="str">
        <v>Team 1</v>
      </c>
      <c r="B23" s="4">
        <v>3</v>
      </c>
      <c r="C23" s="3" t="str">
        <v>Wilkes-Barre</v>
      </c>
      <c r="D23" s="4">
        <v>4</v>
      </c>
    </row>
    <row r="24" spans="1:4" x14ac:dyDescent="0.25">
      <c r="A24" s="3" t="str">
        <v>Team 1</v>
      </c>
      <c r="B24" s="4">
        <v>4</v>
      </c>
      <c r="C24" s="3" t="str">
        <v>Bronx</v>
      </c>
      <c r="D24" s="4">
        <v>9</v>
      </c>
    </row>
    <row r="25" spans="1:4" x14ac:dyDescent="0.25">
      <c r="A25" s="3" t="str">
        <v>Team 1</v>
      </c>
      <c r="B25" s="4">
        <v>4</v>
      </c>
      <c r="C25" s="3" t="str">
        <v>Columbia, SC</v>
      </c>
      <c r="D25" s="4">
        <v>6</v>
      </c>
    </row>
    <row r="26" spans="1:4" x14ac:dyDescent="0.25">
      <c r="A26" s="3" t="str">
        <v>Team 1</v>
      </c>
      <c r="B26" s="4">
        <v>4</v>
      </c>
      <c r="C26" s="3" t="str">
        <v>Detroit</v>
      </c>
      <c r="D26" s="4">
        <v>6</v>
      </c>
    </row>
    <row r="27" spans="1:4" x14ac:dyDescent="0.25">
      <c r="A27" s="3" t="str">
        <v>Team 2</v>
      </c>
      <c r="B27" s="4">
        <v>1</v>
      </c>
      <c r="C27" s="3" t="str">
        <v>Cheyenne</v>
      </c>
      <c r="D27" s="4">
        <v>1</v>
      </c>
    </row>
    <row r="28" spans="1:4" x14ac:dyDescent="0.25">
      <c r="A28" s="3" t="str">
        <v>Team 2</v>
      </c>
      <c r="B28" s="4">
        <v>1</v>
      </c>
      <c r="C28" s="3" t="str">
        <v>Marion</v>
      </c>
      <c r="D28" s="4">
        <v>2</v>
      </c>
    </row>
    <row r="29" spans="1:4" x14ac:dyDescent="0.25">
      <c r="A29" s="3" t="str">
        <v>Team 2</v>
      </c>
      <c r="B29" s="4">
        <v>1</v>
      </c>
      <c r="C29" s="3" t="str">
        <v>Spokane</v>
      </c>
      <c r="D29" s="4">
        <v>1</v>
      </c>
    </row>
    <row r="30" spans="1:4" x14ac:dyDescent="0.25">
      <c r="A30" s="3" t="str">
        <v>Team 2</v>
      </c>
      <c r="B30" s="4">
        <v>1</v>
      </c>
      <c r="C30" s="3" t="str">
        <v>Muskogee</v>
      </c>
      <c r="D30" s="4">
        <v>6</v>
      </c>
    </row>
    <row r="31" spans="1:4" x14ac:dyDescent="0.25">
      <c r="A31" s="3" t="str">
        <v>Team 2</v>
      </c>
      <c r="B31" s="4">
        <v>1</v>
      </c>
      <c r="C31" s="3" t="str">
        <v>Topeka</v>
      </c>
      <c r="D31" s="4">
        <v>1</v>
      </c>
    </row>
    <row r="32" spans="1:4" x14ac:dyDescent="0.25">
      <c r="A32" s="3" t="str">
        <v>Team 2</v>
      </c>
      <c r="B32" s="4">
        <v>2</v>
      </c>
      <c r="C32" s="3" t="str">
        <v>Grand Junction</v>
      </c>
      <c r="D32" s="4">
        <v>3</v>
      </c>
    </row>
    <row r="33" spans="1:4" x14ac:dyDescent="0.25">
      <c r="A33" s="3" t="str">
        <v>Team 2</v>
      </c>
      <c r="B33" s="4">
        <v>3</v>
      </c>
      <c r="C33" s="3" t="str">
        <v>Denver</v>
      </c>
      <c r="D33" s="4">
        <v>8</v>
      </c>
    </row>
    <row r="34" spans="1:4" x14ac:dyDescent="0.25">
      <c r="A34" s="3" t="str">
        <v>Team 2</v>
      </c>
      <c r="B34" s="4">
        <v>3</v>
      </c>
      <c r="C34" s="3" t="str">
        <v>Albuquerque</v>
      </c>
      <c r="D34" s="4">
        <v>3</v>
      </c>
    </row>
    <row r="35" spans="1:4" x14ac:dyDescent="0.25">
      <c r="A35" s="3" t="str">
        <v>Team 2</v>
      </c>
      <c r="B35" s="4">
        <v>3</v>
      </c>
      <c r="C35" s="3" t="str">
        <v>Iowa City</v>
      </c>
      <c r="D35" s="4">
        <v>6</v>
      </c>
    </row>
    <row r="36" spans="1:4" x14ac:dyDescent="0.25">
      <c r="A36" s="3" t="str">
        <v>Team 2</v>
      </c>
      <c r="B36" s="4">
        <v>3</v>
      </c>
      <c r="C36" s="3" t="str">
        <v>Houston</v>
      </c>
      <c r="D36" s="4">
        <v>30</v>
      </c>
    </row>
    <row r="37" spans="1:4" x14ac:dyDescent="0.25">
      <c r="A37" s="3" t="str">
        <v>Team 2</v>
      </c>
      <c r="B37" s="4">
        <v>3</v>
      </c>
      <c r="C37" s="3" t="str">
        <v>Amarillo</v>
      </c>
      <c r="D37" s="4">
        <v>8</v>
      </c>
    </row>
    <row r="38" spans="1:4" x14ac:dyDescent="0.25">
      <c r="A38" s="3" t="str">
        <v>Team 2</v>
      </c>
      <c r="B38" s="4">
        <v>3</v>
      </c>
      <c r="C38" s="3" t="str">
        <v>Oklahoma City</v>
      </c>
      <c r="D38" s="4">
        <v>17</v>
      </c>
    </row>
    <row r="39" spans="1:4" x14ac:dyDescent="0.25">
      <c r="A39" s="3" t="str">
        <v>Team 2</v>
      </c>
      <c r="B39" s="4">
        <v>3</v>
      </c>
      <c r="C39" s="3" t="str">
        <v>Reno</v>
      </c>
      <c r="D39" s="4">
        <v>5</v>
      </c>
    </row>
    <row r="40" spans="1:4" x14ac:dyDescent="0.25">
      <c r="A40" s="3" t="str">
        <v>Team 2</v>
      </c>
      <c r="B40" s="4">
        <v>3</v>
      </c>
      <c r="C40" s="3" t="str">
        <v>Palo Alto</v>
      </c>
      <c r="D40" s="4">
        <v>13</v>
      </c>
    </row>
    <row r="41" spans="1:4" x14ac:dyDescent="0.25">
      <c r="A41" s="3" t="str">
        <v>Team 2</v>
      </c>
      <c r="B41" s="4">
        <v>3</v>
      </c>
      <c r="C41" s="3" t="str">
        <v>San Juan</v>
      </c>
      <c r="D41" s="4">
        <v>31</v>
      </c>
    </row>
    <row r="42" spans="1:4" x14ac:dyDescent="0.25">
      <c r="A42" s="3" t="str">
        <v>Team 2</v>
      </c>
      <c r="B42" s="4">
        <v>3</v>
      </c>
      <c r="C42" s="3" t="str">
        <v>St. Louis</v>
      </c>
      <c r="D42" s="4">
        <v>7</v>
      </c>
    </row>
    <row r="43" spans="1:4" x14ac:dyDescent="0.25">
      <c r="A43" s="3" t="str">
        <v>Team 2</v>
      </c>
      <c r="B43" s="4">
        <v>3</v>
      </c>
      <c r="C43" s="3" t="str">
        <v>Tucson</v>
      </c>
      <c r="D43" s="4">
        <v>14</v>
      </c>
    </row>
    <row r="44" spans="1:4" x14ac:dyDescent="0.25">
      <c r="A44" s="3" t="str">
        <v>Team 2</v>
      </c>
      <c r="B44" s="4">
        <v>3</v>
      </c>
      <c r="C44" s="3" t="str">
        <v>Wichita</v>
      </c>
      <c r="D44" s="4">
        <v>5</v>
      </c>
    </row>
    <row r="45" spans="1:4" x14ac:dyDescent="0.25">
      <c r="A45" s="3" t="str">
        <v>Team 3</v>
      </c>
      <c r="B45" s="4">
        <v>1</v>
      </c>
      <c r="C45" s="3" t="str">
        <v>Black Hills</v>
      </c>
      <c r="D45" s="4">
        <v>0</v>
      </c>
    </row>
    <row r="46" spans="1:4" x14ac:dyDescent="0.25">
      <c r="A46" s="3" t="str">
        <v>Team 3</v>
      </c>
      <c r="B46" s="4">
        <v>1</v>
      </c>
      <c r="C46" s="3" t="str">
        <v>Central Alabama</v>
      </c>
      <c r="D46" s="4">
        <v>3</v>
      </c>
    </row>
    <row r="47" spans="1:4" x14ac:dyDescent="0.25">
      <c r="A47" s="3" t="str">
        <v>Team 3</v>
      </c>
      <c r="B47" s="4">
        <v>1</v>
      </c>
      <c r="C47" s="3" t="str">
        <v>North Florida/South Georgia</v>
      </c>
      <c r="D47" s="4">
        <v>4</v>
      </c>
    </row>
    <row r="48" spans="1:4" x14ac:dyDescent="0.25">
      <c r="A48" s="3" t="str">
        <v>Team 3</v>
      </c>
      <c r="B48" s="4">
        <v>3</v>
      </c>
      <c r="C48" s="3" t="str">
        <v>Atlanta</v>
      </c>
      <c r="D48" s="4">
        <v>6</v>
      </c>
    </row>
    <row r="49" spans="1:4" x14ac:dyDescent="0.25">
      <c r="A49" s="3" t="str">
        <v>Team 3</v>
      </c>
      <c r="B49" s="4">
        <v>3</v>
      </c>
      <c r="C49" s="3" t="str">
        <v>Birmingham</v>
      </c>
      <c r="D49" s="4">
        <v>12</v>
      </c>
    </row>
    <row r="50" spans="1:4" x14ac:dyDescent="0.25">
      <c r="A50" s="3" t="str">
        <v>Team 3</v>
      </c>
      <c r="B50" s="4">
        <v>3</v>
      </c>
      <c r="C50" s="3" t="str">
        <v>Baltimore</v>
      </c>
      <c r="D50" s="4">
        <v>17</v>
      </c>
    </row>
    <row r="51" spans="1:4" x14ac:dyDescent="0.25">
      <c r="A51" s="3" t="str">
        <v>Team 3</v>
      </c>
      <c r="B51" s="4">
        <v>3</v>
      </c>
      <c r="C51" s="3" t="str">
        <v>Fayetteville, NC</v>
      </c>
      <c r="D51" s="4">
        <v>1</v>
      </c>
    </row>
    <row r="52" spans="1:4" x14ac:dyDescent="0.25">
      <c r="A52" s="3" t="str">
        <v>Team 3</v>
      </c>
      <c r="B52" s="4">
        <v>3</v>
      </c>
      <c r="C52" s="3" t="str">
        <v>Indianapolis</v>
      </c>
      <c r="D52" s="4">
        <v>9</v>
      </c>
    </row>
    <row r="53" spans="1:4" x14ac:dyDescent="0.25">
      <c r="A53" s="3" t="str">
        <v>Team 3</v>
      </c>
      <c r="B53" s="4">
        <v>3</v>
      </c>
      <c r="C53" s="3" t="str">
        <v>Loma Linda</v>
      </c>
      <c r="D53" s="4">
        <v>16</v>
      </c>
    </row>
    <row r="54" spans="1:4" x14ac:dyDescent="0.25">
      <c r="A54" s="3" t="str">
        <v>Team 3</v>
      </c>
      <c r="B54" s="4">
        <v>3</v>
      </c>
      <c r="C54" s="3" t="str">
        <v>Memphis</v>
      </c>
      <c r="D54" s="4">
        <v>13</v>
      </c>
    </row>
    <row r="55" spans="1:4" x14ac:dyDescent="0.25">
      <c r="A55" s="3" t="str">
        <v>Team 3</v>
      </c>
      <c r="B55" s="4">
        <v>3</v>
      </c>
      <c r="C55" s="3" t="str">
        <v>Mountain Home</v>
      </c>
      <c r="D55" s="4">
        <v>9</v>
      </c>
    </row>
    <row r="56" spans="1:4" x14ac:dyDescent="0.25">
      <c r="A56" s="3" t="str">
        <v>Team 3</v>
      </c>
      <c r="B56" s="4">
        <v>3</v>
      </c>
      <c r="C56" s="3" t="str">
        <v>New Jersey</v>
      </c>
      <c r="D56" s="4">
        <v>5</v>
      </c>
    </row>
    <row r="57" spans="1:4" x14ac:dyDescent="0.25">
      <c r="A57" s="3" t="str">
        <v>Team 3</v>
      </c>
      <c r="B57" s="4">
        <v>3</v>
      </c>
      <c r="C57" s="3" t="str">
        <v>Orlando</v>
      </c>
      <c r="D57" s="4">
        <v>10</v>
      </c>
    </row>
    <row r="58" spans="1:4" x14ac:dyDescent="0.25">
      <c r="A58" s="3" t="str">
        <v>Team 3</v>
      </c>
      <c r="B58" s="4">
        <v>3</v>
      </c>
      <c r="C58" s="3" t="str">
        <v>Northport</v>
      </c>
      <c r="D58" s="4">
        <v>4</v>
      </c>
    </row>
    <row r="59" spans="1:4" x14ac:dyDescent="0.25">
      <c r="A59" s="3" t="str">
        <v>Team 3</v>
      </c>
      <c r="B59" s="4">
        <v>3</v>
      </c>
      <c r="C59" s="3" t="str">
        <v>Richmond</v>
      </c>
      <c r="D59" s="4">
        <v>12</v>
      </c>
    </row>
    <row r="60" spans="1:4" x14ac:dyDescent="0.25">
      <c r="A60" s="3" t="str">
        <v>Team 3</v>
      </c>
      <c r="B60" s="4">
        <v>3</v>
      </c>
      <c r="C60" s="3" t="str">
        <v>Togus</v>
      </c>
      <c r="D60" s="4">
        <v>4</v>
      </c>
    </row>
    <row r="61" spans="1:4" x14ac:dyDescent="0.25">
      <c r="A61" s="3" t="str">
        <v>Team 3</v>
      </c>
      <c r="B61" s="4">
        <v>3</v>
      </c>
      <c r="C61" s="3" t="str">
        <v>Washington DC</v>
      </c>
      <c r="D61" s="4">
        <v>9</v>
      </c>
    </row>
    <row r="62" spans="1:4" x14ac:dyDescent="0.25">
      <c r="A62" s="3" t="str">
        <v>Team 3</v>
      </c>
      <c r="B62" s="4">
        <v>4</v>
      </c>
      <c r="C62" s="3" t="str">
        <v>Martinsburg</v>
      </c>
      <c r="D62" s="4">
        <v>2</v>
      </c>
    </row>
    <row r="63" spans="1:4" x14ac:dyDescent="0.25">
      <c r="A63" s="3" t="str">
        <v>Team 4</v>
      </c>
      <c r="B63" s="4">
        <v>1</v>
      </c>
      <c r="C63" s="3" t="str">
        <v>Fargo</v>
      </c>
      <c r="D63" s="4">
        <v>0</v>
      </c>
    </row>
    <row r="64" spans="1:4" x14ac:dyDescent="0.25">
      <c r="A64" s="3" t="str">
        <v>Team 4</v>
      </c>
      <c r="B64" s="4">
        <v>1</v>
      </c>
      <c r="C64" s="3" t="str">
        <v>Fayetteville, AR</v>
      </c>
      <c r="D64" s="4">
        <v>1</v>
      </c>
    </row>
    <row r="65" spans="1:4" x14ac:dyDescent="0.25">
      <c r="A65" s="3" t="str">
        <v>Team 4</v>
      </c>
      <c r="B65" s="4">
        <v>1</v>
      </c>
      <c r="C65" s="3" t="str">
        <v>Des Moines</v>
      </c>
      <c r="D65" s="4">
        <v>5</v>
      </c>
    </row>
    <row r="66" spans="1:4" x14ac:dyDescent="0.25">
      <c r="A66" s="3" t="str">
        <v>Team 4</v>
      </c>
      <c r="B66" s="4">
        <v>1</v>
      </c>
      <c r="C66" s="3" t="str">
        <v>Fort Harrison</v>
      </c>
      <c r="D66" s="4">
        <v>0</v>
      </c>
    </row>
    <row r="67" spans="1:4" x14ac:dyDescent="0.25">
      <c r="A67" s="3" t="str">
        <v>Team 4</v>
      </c>
      <c r="B67" s="4">
        <v>1</v>
      </c>
      <c r="C67" s="3" t="str">
        <v>Leavenworth</v>
      </c>
      <c r="D67" s="4">
        <v>1</v>
      </c>
    </row>
    <row r="68" spans="1:4" x14ac:dyDescent="0.25">
      <c r="A68" s="3" t="str">
        <v>Team 4</v>
      </c>
      <c r="B68" s="4">
        <v>1</v>
      </c>
      <c r="C68" s="3" t="str">
        <v>Sioux Falls</v>
      </c>
      <c r="D68" s="4">
        <v>2</v>
      </c>
    </row>
    <row r="69" spans="1:4" x14ac:dyDescent="0.25">
      <c r="A69" s="3" t="str">
        <v>Team 4</v>
      </c>
      <c r="B69" s="4">
        <v>2</v>
      </c>
      <c r="C69" s="3" t="str">
        <v>Biloxi</v>
      </c>
      <c r="D69" s="4">
        <v>2</v>
      </c>
    </row>
    <row r="70" spans="1:4" x14ac:dyDescent="0.25">
      <c r="A70" s="3" t="str">
        <v>Team 4</v>
      </c>
      <c r="B70" s="4">
        <v>3</v>
      </c>
      <c r="C70" s="3" t="str">
        <v>Columbia, MO</v>
      </c>
      <c r="D70" s="4">
        <v>5</v>
      </c>
    </row>
    <row r="71" spans="1:4" x14ac:dyDescent="0.25">
      <c r="A71" s="3" t="str">
        <v>Team 4</v>
      </c>
      <c r="B71" s="4">
        <v>3</v>
      </c>
      <c r="C71" s="3" t="str">
        <v>Temple (Central Texas)</v>
      </c>
      <c r="D71" s="4">
        <v>2</v>
      </c>
    </row>
    <row r="72" spans="1:4" x14ac:dyDescent="0.25">
      <c r="A72" s="3" t="str">
        <v>Team 4</v>
      </c>
      <c r="B72" s="4">
        <v>3</v>
      </c>
      <c r="C72" s="3" t="str">
        <v>Boise</v>
      </c>
      <c r="D72" s="4">
        <v>1</v>
      </c>
    </row>
    <row r="73" spans="1:4" x14ac:dyDescent="0.25">
      <c r="A73" s="3" t="str">
        <v>Team 4</v>
      </c>
      <c r="B73" s="4">
        <v>3</v>
      </c>
      <c r="C73" s="3" t="str">
        <v>West Los Angeles</v>
      </c>
      <c r="D73" s="4">
        <v>31</v>
      </c>
    </row>
    <row r="74" spans="1:4" x14ac:dyDescent="0.25">
      <c r="A74" s="3" t="str">
        <v>Team 4</v>
      </c>
      <c r="B74" s="4">
        <v>3</v>
      </c>
      <c r="C74" s="3" t="str">
        <v>Fresno</v>
      </c>
      <c r="D74" s="4">
        <v>8</v>
      </c>
    </row>
    <row r="75" spans="1:4" x14ac:dyDescent="0.25">
      <c r="A75" s="3" t="str">
        <v>Team 4</v>
      </c>
      <c r="B75" s="4">
        <v>3</v>
      </c>
      <c r="C75" s="3" t="str">
        <v>Jackson</v>
      </c>
      <c r="D75" s="4">
        <v>2</v>
      </c>
    </row>
    <row r="76" spans="1:4" x14ac:dyDescent="0.25">
      <c r="A76" s="3" t="str">
        <v>Team 4</v>
      </c>
      <c r="B76" s="4">
        <v>3</v>
      </c>
      <c r="C76" s="3" t="str">
        <v>Kansas City</v>
      </c>
      <c r="D76" s="4">
        <v>13</v>
      </c>
    </row>
    <row r="77" spans="1:4" x14ac:dyDescent="0.25">
      <c r="A77" s="3" t="str">
        <v>Team 4</v>
      </c>
      <c r="B77" s="4">
        <v>3</v>
      </c>
      <c r="C77" s="3" t="str">
        <v>Las Vegas</v>
      </c>
      <c r="D77" s="4">
        <v>6</v>
      </c>
    </row>
    <row r="78" spans="1:4" x14ac:dyDescent="0.25">
      <c r="A78" s="3" t="str">
        <v>Team 4</v>
      </c>
      <c r="B78" s="4">
        <v>3</v>
      </c>
      <c r="C78" s="3" t="str">
        <v>Cleveland</v>
      </c>
      <c r="D78" s="4">
        <v>17</v>
      </c>
    </row>
    <row r="79" spans="1:4" x14ac:dyDescent="0.25">
      <c r="A79" s="3" t="str">
        <v>Team 4</v>
      </c>
      <c r="B79" s="4">
        <v>3</v>
      </c>
      <c r="C79" s="3" t="str">
        <v>Little Rock</v>
      </c>
      <c r="D79" s="4">
        <v>26</v>
      </c>
    </row>
    <row r="80" spans="1:4" x14ac:dyDescent="0.25">
      <c r="A80" s="3" t="str">
        <v>Team 4</v>
      </c>
      <c r="B80" s="4">
        <v>3</v>
      </c>
      <c r="C80" s="3" t="str">
        <v>Sacramento</v>
      </c>
      <c r="D80" s="4">
        <v>7</v>
      </c>
    </row>
    <row r="81" spans="1:4" x14ac:dyDescent="0.25">
      <c r="A81" s="3" t="str">
        <v>Team 4</v>
      </c>
      <c r="B81" s="4">
        <v>3</v>
      </c>
      <c r="C81" s="3" t="str">
        <v>New Orleans</v>
      </c>
      <c r="D81" s="4">
        <v>6</v>
      </c>
    </row>
    <row r="82" spans="1:4" x14ac:dyDescent="0.25">
      <c r="A82" s="3" t="str">
        <v>Team 4</v>
      </c>
      <c r="B82" s="4">
        <v>3</v>
      </c>
      <c r="C82" s="3" t="str">
        <v>Minneapolis</v>
      </c>
      <c r="D82" s="4">
        <v>9</v>
      </c>
    </row>
    <row r="83" spans="1:4" x14ac:dyDescent="0.25">
      <c r="A83" s="3" t="str">
        <v>Team 4</v>
      </c>
      <c r="B83" s="4">
        <v>3</v>
      </c>
      <c r="C83" s="3" t="str">
        <v>Omaha</v>
      </c>
      <c r="D83" s="4">
        <v>8</v>
      </c>
    </row>
    <row r="84" spans="1:4" x14ac:dyDescent="0.25">
      <c r="A84" s="3" t="str">
        <v>Team 4</v>
      </c>
      <c r="B84" s="4">
        <v>3</v>
      </c>
      <c r="C84" s="3" t="str">
        <v>Phoenix</v>
      </c>
      <c r="D84" s="4">
        <v>6</v>
      </c>
    </row>
    <row r="85" spans="1:4" x14ac:dyDescent="0.25">
      <c r="A85" s="3" t="str">
        <v>Team 4</v>
      </c>
      <c r="B85" s="4">
        <v>3</v>
      </c>
      <c r="C85" s="3" t="str">
        <v>Shreveport</v>
      </c>
      <c r="D85"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3A9B-CF25-40C0-93A8-F39756807CD9}">
  <dimension ref="A1:C86"/>
  <sheetViews>
    <sheetView workbookViewId="0"/>
  </sheetViews>
  <sheetFormatPr defaultRowHeight="15" x14ac:dyDescent="0.25"/>
  <cols>
    <col min="1" max="1" width="26" customWidth="1"/>
    <col min="2" max="2" width="19.85546875" customWidth="1"/>
    <col min="3" max="3" width="21.85546875" bestFit="1" customWidth="1"/>
  </cols>
  <sheetData>
    <row r="1" spans="1:3" ht="18.75" x14ac:dyDescent="0.3">
      <c r="A1" s="5" t="str" cm="1">
        <f t="array" ref="A1:C86">_xlfn._xlws.PY(5,0,SiteTable[#All],InputTable[#All])</f>
        <v>Site Name</v>
      </c>
      <c r="B1" s="5" t="str">
        <v>Assigned RN</v>
      </c>
      <c r="C1" s="5" t="str">
        <v>Assigned Provider</v>
      </c>
    </row>
    <row r="2" spans="1:3" x14ac:dyDescent="0.25">
      <c r="A2" s="3" t="str">
        <v>ALN-Upstate New York</v>
      </c>
      <c r="B2" s="3" t="str">
        <v>RN 13</v>
      </c>
      <c r="C2" s="3" t="str">
        <v>Team 1</v>
      </c>
    </row>
    <row r="3" spans="1:3" x14ac:dyDescent="0.25">
      <c r="A3" s="3" t="str">
        <v>Albuquerque</v>
      </c>
      <c r="B3" s="3" t="str">
        <v>RN 4</v>
      </c>
      <c r="C3" s="3" t="str">
        <v>Team 2</v>
      </c>
    </row>
    <row r="4" spans="1:3" x14ac:dyDescent="0.25">
      <c r="A4" s="3" t="str">
        <v>Amarillo</v>
      </c>
      <c r="B4" s="3" t="str">
        <v>RN 11</v>
      </c>
      <c r="C4" s="3" t="str">
        <v>Team 2</v>
      </c>
    </row>
    <row r="5" spans="1:3" x14ac:dyDescent="0.25">
      <c r="A5" s="3" t="str">
        <v>Ann Arbor</v>
      </c>
      <c r="B5" s="3" t="str">
        <v>RN 10</v>
      </c>
      <c r="C5" s="3" t="str">
        <v>Team 1</v>
      </c>
    </row>
    <row r="6" spans="1:3" x14ac:dyDescent="0.25">
      <c r="A6" s="3" t="str">
        <v>Asheville</v>
      </c>
      <c r="B6" s="3" t="str">
        <v>RN 12</v>
      </c>
      <c r="C6" s="3" t="str">
        <v>Team 1</v>
      </c>
    </row>
    <row r="7" spans="1:3" x14ac:dyDescent="0.25">
      <c r="A7" s="3" t="str">
        <v>Atlanta</v>
      </c>
      <c r="B7" s="3" t="str">
        <v>RN 11</v>
      </c>
      <c r="C7" s="3" t="str">
        <v>Team 3</v>
      </c>
    </row>
    <row r="8" spans="1:3" x14ac:dyDescent="0.25">
      <c r="A8" s="3" t="str">
        <v>Augusta</v>
      </c>
      <c r="B8" s="3" t="str">
        <v>RN 6</v>
      </c>
      <c r="C8" s="3" t="str">
        <v>Team 1</v>
      </c>
    </row>
    <row r="9" spans="1:3" x14ac:dyDescent="0.25">
      <c r="A9" s="3" t="str">
        <v>BUF-Upstate New York</v>
      </c>
      <c r="B9" s="3" t="str">
        <v>RN 13</v>
      </c>
      <c r="C9" s="3" t="str">
        <v>Team 1</v>
      </c>
    </row>
    <row r="10" spans="1:3" x14ac:dyDescent="0.25">
      <c r="A10" s="3" t="str">
        <v>BYN-New York Harbor</v>
      </c>
      <c r="B10" s="3" t="str">
        <v>RN 6</v>
      </c>
      <c r="C10" s="3" t="str">
        <v>Team 1</v>
      </c>
    </row>
    <row r="11" spans="1:3" x14ac:dyDescent="0.25">
      <c r="A11" s="3" t="str">
        <v>Baltimore</v>
      </c>
      <c r="B11" s="3" t="str">
        <v>RN 7</v>
      </c>
      <c r="C11" s="3" t="str">
        <v>Team 3</v>
      </c>
    </row>
    <row r="12" spans="1:3" x14ac:dyDescent="0.25">
      <c r="A12" s="3" t="str">
        <v>Bay Pines</v>
      </c>
      <c r="B12" s="3" t="str">
        <v>RN 9</v>
      </c>
      <c r="C12" s="3" t="str">
        <v>Team 1</v>
      </c>
    </row>
    <row r="13" spans="1:3" x14ac:dyDescent="0.25">
      <c r="A13" s="3" t="str">
        <v>Beckley</v>
      </c>
      <c r="B13" s="3" t="str">
        <v>RN 2</v>
      </c>
      <c r="C13" s="3" t="str">
        <v>Team 1</v>
      </c>
    </row>
    <row r="14" spans="1:3" x14ac:dyDescent="0.25">
      <c r="A14" s="3" t="str">
        <v>Biloxi</v>
      </c>
      <c r="B14" s="3" t="str">
        <v>RN 1</v>
      </c>
      <c r="C14" s="3" t="str">
        <v>Team 4</v>
      </c>
    </row>
    <row r="15" spans="1:3" x14ac:dyDescent="0.25">
      <c r="A15" s="3" t="str">
        <v>Birmingham</v>
      </c>
      <c r="B15" s="3" t="str">
        <v>RN 13</v>
      </c>
      <c r="C15" s="3" t="str">
        <v>Team 3</v>
      </c>
    </row>
    <row r="16" spans="1:3" x14ac:dyDescent="0.25">
      <c r="A16" s="3" t="str">
        <v>Black Hills</v>
      </c>
      <c r="B16" s="3" t="str">
        <v>RN 3</v>
      </c>
      <c r="C16" s="3" t="str">
        <v>Team 3</v>
      </c>
    </row>
    <row r="17" spans="1:3" x14ac:dyDescent="0.25">
      <c r="A17" s="3" t="str">
        <v>Boise</v>
      </c>
      <c r="B17" s="3" t="str">
        <v>RN 8</v>
      </c>
      <c r="C17" s="3" t="str">
        <v>Team 4</v>
      </c>
    </row>
    <row r="18" spans="1:3" x14ac:dyDescent="0.25">
      <c r="A18" s="3" t="str">
        <v>Bronx</v>
      </c>
      <c r="B18" s="3" t="str">
        <v>RN 7</v>
      </c>
      <c r="C18" s="3" t="str">
        <v>Team 1</v>
      </c>
    </row>
    <row r="19" spans="1:3" x14ac:dyDescent="0.25">
      <c r="A19" s="3" t="str">
        <v>Central Alabama</v>
      </c>
      <c r="B19" s="3" t="str">
        <v>RN 11</v>
      </c>
      <c r="C19" s="3" t="str">
        <v>Team 3</v>
      </c>
    </row>
    <row r="20" spans="1:3" x14ac:dyDescent="0.25">
      <c r="A20" s="3" t="str">
        <v>Cheyenne</v>
      </c>
      <c r="B20" s="3" t="str">
        <v>RN 9</v>
      </c>
      <c r="C20" s="3" t="str">
        <v>Team 2</v>
      </c>
    </row>
    <row r="21" spans="1:3" x14ac:dyDescent="0.25">
      <c r="A21" s="3" t="str">
        <v>Cincinnati</v>
      </c>
      <c r="B21" s="3" t="str">
        <v>RN 8</v>
      </c>
      <c r="C21" s="3" t="str">
        <v>Team 1</v>
      </c>
    </row>
    <row r="22" spans="1:3" x14ac:dyDescent="0.25">
      <c r="A22" s="3" t="str">
        <v>Clarksburg</v>
      </c>
      <c r="B22" s="3" t="str">
        <v>RN 11</v>
      </c>
      <c r="C22" s="3" t="str">
        <v>Team 1</v>
      </c>
    </row>
    <row r="23" spans="1:3" x14ac:dyDescent="0.25">
      <c r="A23" s="3" t="str">
        <v>Cleveland</v>
      </c>
      <c r="B23" s="3" t="str">
        <v>RN 6</v>
      </c>
      <c r="C23" s="3" t="str">
        <v>Team 4</v>
      </c>
    </row>
    <row r="24" spans="1:3" x14ac:dyDescent="0.25">
      <c r="A24" s="3" t="str">
        <v>Columbia, MO</v>
      </c>
      <c r="B24" s="3" t="str">
        <v>RN 8</v>
      </c>
      <c r="C24" s="3" t="str">
        <v>Team 4</v>
      </c>
    </row>
    <row r="25" spans="1:3" x14ac:dyDescent="0.25">
      <c r="A25" s="3" t="str">
        <v>Columbia, SC</v>
      </c>
      <c r="B25" s="3" t="str">
        <v>RN 1</v>
      </c>
      <c r="C25" s="3" t="str">
        <v>Team 1</v>
      </c>
    </row>
    <row r="26" spans="1:3" x14ac:dyDescent="0.25">
      <c r="A26" s="3" t="str">
        <v>Connecticut</v>
      </c>
      <c r="B26" s="3" t="str">
        <v>RN 10</v>
      </c>
      <c r="C26" s="3" t="str">
        <v>Team 1</v>
      </c>
    </row>
    <row r="27" spans="1:3" x14ac:dyDescent="0.25">
      <c r="A27" s="3" t="str">
        <v>Dayton</v>
      </c>
      <c r="B27" s="3" t="str">
        <v>RN 2</v>
      </c>
      <c r="C27" s="3" t="str">
        <v>Team 1</v>
      </c>
    </row>
    <row r="28" spans="1:3" x14ac:dyDescent="0.25">
      <c r="A28" s="3" t="str">
        <v>Denver</v>
      </c>
      <c r="B28" s="3" t="str">
        <v>RN 14</v>
      </c>
      <c r="C28" s="3" t="str">
        <v>Team 2</v>
      </c>
    </row>
    <row r="29" spans="1:3" x14ac:dyDescent="0.25">
      <c r="A29" s="3" t="str">
        <v>Des Moines</v>
      </c>
      <c r="B29" s="3" t="str">
        <v>RN 3</v>
      </c>
      <c r="C29" s="3" t="str">
        <v>Team 4</v>
      </c>
    </row>
    <row r="30" spans="1:3" x14ac:dyDescent="0.25">
      <c r="A30" s="3" t="str">
        <v>Detroit</v>
      </c>
      <c r="B30" s="3" t="str">
        <v>RN 12</v>
      </c>
      <c r="C30" s="3" t="str">
        <v>Team 1</v>
      </c>
    </row>
    <row r="31" spans="1:3" x14ac:dyDescent="0.25">
      <c r="A31" s="3" t="str">
        <v>Fargo</v>
      </c>
      <c r="B31" s="3" t="str">
        <v>RN 6</v>
      </c>
      <c r="C31" s="3" t="str">
        <v>Team 4</v>
      </c>
    </row>
    <row r="32" spans="1:3" x14ac:dyDescent="0.25">
      <c r="A32" s="3" t="str">
        <v>Fayetteville, AR</v>
      </c>
      <c r="B32" s="3" t="str">
        <v>RN 10</v>
      </c>
      <c r="C32" s="3" t="str">
        <v>Team 4</v>
      </c>
    </row>
    <row r="33" spans="1:3" x14ac:dyDescent="0.25">
      <c r="A33" s="3" t="str">
        <v>Fayetteville, NC</v>
      </c>
      <c r="B33" s="3" t="str">
        <v>RN 8</v>
      </c>
      <c r="C33" s="3" t="str">
        <v>Team 3</v>
      </c>
    </row>
    <row r="34" spans="1:3" x14ac:dyDescent="0.25">
      <c r="A34" s="3" t="str">
        <v>Fort Harrison</v>
      </c>
      <c r="B34" s="3" t="str">
        <v>RN 3</v>
      </c>
      <c r="C34" s="3" t="str">
        <v>Team 4</v>
      </c>
    </row>
    <row r="35" spans="1:3" x14ac:dyDescent="0.25">
      <c r="A35" s="3" t="str">
        <v>Fresno</v>
      </c>
      <c r="B35" s="3" t="str">
        <v>RN 12</v>
      </c>
      <c r="C35" s="3" t="str">
        <v>Team 4</v>
      </c>
    </row>
    <row r="36" spans="1:3" x14ac:dyDescent="0.25">
      <c r="A36" s="3" t="str">
        <v>Grand Junction</v>
      </c>
      <c r="B36" s="3" t="str">
        <v>RN 4</v>
      </c>
      <c r="C36" s="3" t="str">
        <v>Team 2</v>
      </c>
    </row>
    <row r="37" spans="1:3" x14ac:dyDescent="0.25">
      <c r="A37" s="3" t="str">
        <v>Hampton</v>
      </c>
      <c r="B37" s="3" t="str">
        <v>RN 1</v>
      </c>
      <c r="C37" s="3" t="str">
        <v>Team 1</v>
      </c>
    </row>
    <row r="38" spans="1:3" x14ac:dyDescent="0.25">
      <c r="A38" s="3" t="str">
        <v>Houston</v>
      </c>
      <c r="B38" s="3" t="str">
        <v>RN 3</v>
      </c>
      <c r="C38" s="3" t="str">
        <v>Team 2</v>
      </c>
    </row>
    <row r="39" spans="1:3" x14ac:dyDescent="0.25">
      <c r="A39" s="3" t="str">
        <v>Huntington</v>
      </c>
      <c r="B39" s="3" t="str">
        <v>RN 13</v>
      </c>
      <c r="C39" s="3" t="str">
        <v>Team 1</v>
      </c>
    </row>
    <row r="40" spans="1:3" x14ac:dyDescent="0.25">
      <c r="A40" s="3" t="str">
        <v>Indianapolis</v>
      </c>
      <c r="B40" s="3" t="str">
        <v>RN 6</v>
      </c>
      <c r="C40" s="3" t="str">
        <v>Team 3</v>
      </c>
    </row>
    <row r="41" spans="1:3" x14ac:dyDescent="0.25">
      <c r="A41" s="3" t="str">
        <v>Iowa City</v>
      </c>
      <c r="B41" s="3" t="str">
        <v>RN 4</v>
      </c>
      <c r="C41" s="3" t="str">
        <v>Team 2</v>
      </c>
    </row>
    <row r="42" spans="1:3" x14ac:dyDescent="0.25">
      <c r="A42" s="3" t="str">
        <v>Jackson</v>
      </c>
      <c r="B42" s="3" t="str">
        <v>RN 12</v>
      </c>
      <c r="C42" s="3" t="str">
        <v>Team 4</v>
      </c>
    </row>
    <row r="43" spans="1:3" x14ac:dyDescent="0.25">
      <c r="A43" s="3" t="str">
        <v>Kansas City</v>
      </c>
      <c r="B43" s="3" t="str">
        <v>RN 13</v>
      </c>
      <c r="C43" s="3" t="str">
        <v>Team 4</v>
      </c>
    </row>
    <row r="44" spans="1:3" x14ac:dyDescent="0.25">
      <c r="A44" s="3" t="str">
        <v>Las Vegas</v>
      </c>
      <c r="B44" s="3" t="str">
        <v>RN 2</v>
      </c>
      <c r="C44" s="3" t="str">
        <v>Team 4</v>
      </c>
    </row>
    <row r="45" spans="1:3" x14ac:dyDescent="0.25">
      <c r="A45" s="3" t="str">
        <v>Leavenworth</v>
      </c>
      <c r="B45" s="3" t="str">
        <v>RN 5</v>
      </c>
      <c r="C45" s="3" t="str">
        <v>Team 4</v>
      </c>
    </row>
    <row r="46" spans="1:3" x14ac:dyDescent="0.25">
      <c r="A46" s="3" t="str">
        <v>Lebanon</v>
      </c>
      <c r="B46" s="3" t="str">
        <v>RN 6</v>
      </c>
      <c r="C46" s="3" t="str">
        <v>Team 1</v>
      </c>
    </row>
    <row r="47" spans="1:3" x14ac:dyDescent="0.25">
      <c r="A47" s="3" t="str">
        <v>Little Rock</v>
      </c>
      <c r="B47" s="3" t="str">
        <v>RN 4</v>
      </c>
      <c r="C47" s="3" t="str">
        <v>Team 4</v>
      </c>
    </row>
    <row r="48" spans="1:3" x14ac:dyDescent="0.25">
      <c r="A48" s="3" t="str">
        <v>Loma Linda</v>
      </c>
      <c r="B48" s="3" t="str">
        <v>RN 8</v>
      </c>
      <c r="C48" s="3" t="str">
        <v>Team 3</v>
      </c>
    </row>
    <row r="49" spans="1:3" x14ac:dyDescent="0.25">
      <c r="A49" s="3" t="str">
        <v>Marion</v>
      </c>
      <c r="B49" s="3" t="str">
        <v>RN 11</v>
      </c>
      <c r="C49" s="3" t="str">
        <v>Team 2</v>
      </c>
    </row>
    <row r="50" spans="1:3" x14ac:dyDescent="0.25">
      <c r="A50" s="3" t="str">
        <v>Martinsburg</v>
      </c>
      <c r="B50" s="3" t="str">
        <v>RN 3</v>
      </c>
      <c r="C50" s="3" t="str">
        <v>Team 3</v>
      </c>
    </row>
    <row r="51" spans="1:3" x14ac:dyDescent="0.25">
      <c r="A51" s="3" t="str">
        <v>Memphis</v>
      </c>
      <c r="B51" s="3" t="str">
        <v>RN 11</v>
      </c>
      <c r="C51" s="3" t="str">
        <v>Team 3</v>
      </c>
    </row>
    <row r="52" spans="1:3" x14ac:dyDescent="0.25">
      <c r="A52" s="3" t="str">
        <v>Minneapolis</v>
      </c>
      <c r="B52" s="3" t="str">
        <v>RN 5</v>
      </c>
      <c r="C52" s="3" t="str">
        <v>Team 4</v>
      </c>
    </row>
    <row r="53" spans="1:3" x14ac:dyDescent="0.25">
      <c r="A53" s="3" t="str">
        <v>Mountain Home</v>
      </c>
      <c r="B53" s="3" t="str">
        <v>RN 10</v>
      </c>
      <c r="C53" s="3" t="str">
        <v>Team 3</v>
      </c>
    </row>
    <row r="54" spans="1:3" x14ac:dyDescent="0.25">
      <c r="A54" s="3" t="str">
        <v>Muskogee</v>
      </c>
      <c r="B54" s="3" t="str">
        <v>RN 4</v>
      </c>
      <c r="C54" s="3" t="str">
        <v>Team 2</v>
      </c>
    </row>
    <row r="55" spans="1:3" x14ac:dyDescent="0.25">
      <c r="A55" s="3" t="str">
        <v>NYN-New York Harbor</v>
      </c>
      <c r="B55" s="3" t="str">
        <v>RN 14</v>
      </c>
      <c r="C55" s="3" t="str">
        <v>Team 1</v>
      </c>
    </row>
    <row r="56" spans="1:3" x14ac:dyDescent="0.25">
      <c r="A56" s="3" t="str">
        <v>Nellis AFB</v>
      </c>
      <c r="B56" s="3" t="str">
        <v>RN 6</v>
      </c>
      <c r="C56" s="3" t="str">
        <v>Team 2</v>
      </c>
    </row>
    <row r="57" spans="1:3" x14ac:dyDescent="0.25">
      <c r="A57" s="3" t="str">
        <v>New Jersey</v>
      </c>
      <c r="B57" s="3" t="str">
        <v>RN 7</v>
      </c>
      <c r="C57" s="3" t="str">
        <v>Team 3</v>
      </c>
    </row>
    <row r="58" spans="1:3" x14ac:dyDescent="0.25">
      <c r="A58" s="3" t="str">
        <v>New Orleans</v>
      </c>
      <c r="B58" s="3" t="str">
        <v>RN 14</v>
      </c>
      <c r="C58" s="3" t="str">
        <v>Team 4</v>
      </c>
    </row>
    <row r="59" spans="1:3" x14ac:dyDescent="0.25">
      <c r="A59" s="3" t="str">
        <v>North Florida/South Georgia</v>
      </c>
      <c r="B59" s="3" t="str">
        <v>RN 5</v>
      </c>
      <c r="C59" s="3" t="str">
        <v>Team 3</v>
      </c>
    </row>
    <row r="60" spans="1:3" x14ac:dyDescent="0.25">
      <c r="A60" s="3" t="str">
        <v>Northern Indiana</v>
      </c>
      <c r="B60" s="3" t="str">
        <v>RN 3</v>
      </c>
      <c r="C60" s="3" t="str">
        <v>Team 1</v>
      </c>
    </row>
    <row r="61" spans="1:3" x14ac:dyDescent="0.25">
      <c r="A61" s="3" t="str">
        <v>Northport</v>
      </c>
      <c r="B61" s="3" t="str">
        <v>RN 9</v>
      </c>
      <c r="C61" s="3" t="str">
        <v>Team 3</v>
      </c>
    </row>
    <row r="62" spans="1:3" x14ac:dyDescent="0.25">
      <c r="A62" s="3" t="str">
        <v>Oklahoma City</v>
      </c>
      <c r="B62" s="3" t="str">
        <v>RN 5</v>
      </c>
      <c r="C62" s="3" t="str">
        <v>Team 2</v>
      </c>
    </row>
    <row r="63" spans="1:3" x14ac:dyDescent="0.25">
      <c r="A63" s="3" t="str">
        <v>Omaha</v>
      </c>
      <c r="B63" s="3" t="str">
        <v>RN 9</v>
      </c>
      <c r="C63" s="3" t="str">
        <v>Team 4</v>
      </c>
    </row>
    <row r="64" spans="1:3" x14ac:dyDescent="0.25">
      <c r="A64" s="3" t="str">
        <v>Orlando</v>
      </c>
      <c r="B64" s="3" t="str">
        <v>RN 9</v>
      </c>
      <c r="C64" s="3" t="str">
        <v>Team 3</v>
      </c>
    </row>
    <row r="65" spans="1:3" x14ac:dyDescent="0.25">
      <c r="A65" s="3" t="str">
        <v>Palo Alto</v>
      </c>
      <c r="B65" s="3" t="str">
        <v>RN 12</v>
      </c>
      <c r="C65" s="3" t="str">
        <v>Team 2</v>
      </c>
    </row>
    <row r="66" spans="1:3" x14ac:dyDescent="0.25">
      <c r="A66" s="3" t="str">
        <v>Phoenix</v>
      </c>
      <c r="B66" s="3" t="str">
        <v>RN 13</v>
      </c>
      <c r="C66" s="3" t="str">
        <v>Team 4</v>
      </c>
    </row>
    <row r="67" spans="1:3" x14ac:dyDescent="0.25">
      <c r="A67" s="3" t="str">
        <v>Reno</v>
      </c>
      <c r="B67" s="3" t="str">
        <v>RN 5</v>
      </c>
      <c r="C67" s="3" t="str">
        <v>Team 2</v>
      </c>
    </row>
    <row r="68" spans="1:3" x14ac:dyDescent="0.25">
      <c r="A68" s="3" t="str">
        <v>Richmond</v>
      </c>
      <c r="B68" s="3" t="str">
        <v>RN 14</v>
      </c>
      <c r="C68" s="3" t="str">
        <v>Team 3</v>
      </c>
    </row>
    <row r="69" spans="1:3" x14ac:dyDescent="0.25">
      <c r="A69" s="3" t="str">
        <v>SYR-Upstate New York</v>
      </c>
      <c r="B69" s="3" t="str">
        <v>RN 3</v>
      </c>
      <c r="C69" s="3" t="str">
        <v>Team 1</v>
      </c>
    </row>
    <row r="70" spans="1:3" x14ac:dyDescent="0.25">
      <c r="A70" s="3" t="str">
        <v>Sacramento</v>
      </c>
      <c r="B70" s="3" t="str">
        <v>RN 7</v>
      </c>
      <c r="C70" s="3" t="str">
        <v>Team 4</v>
      </c>
    </row>
    <row r="71" spans="1:3" x14ac:dyDescent="0.25">
      <c r="A71" s="3" t="str">
        <v>Salisbury</v>
      </c>
      <c r="B71" s="3" t="str">
        <v>RN 14</v>
      </c>
      <c r="C71" s="3" t="str">
        <v>Team 1</v>
      </c>
    </row>
    <row r="72" spans="1:3" x14ac:dyDescent="0.25">
      <c r="A72" s="3" t="str">
        <v>San Juan</v>
      </c>
      <c r="B72" s="3" t="str">
        <v>RN 1</v>
      </c>
      <c r="C72" s="3" t="str">
        <v>Team 2</v>
      </c>
    </row>
    <row r="73" spans="1:3" x14ac:dyDescent="0.25">
      <c r="A73" s="3" t="str">
        <v>Shreveport</v>
      </c>
      <c r="B73" s="3" t="str">
        <v>RN 10</v>
      </c>
      <c r="C73" s="3" t="str">
        <v>Team 4</v>
      </c>
    </row>
    <row r="74" spans="1:3" x14ac:dyDescent="0.25">
      <c r="A74" s="3" t="str">
        <v>Sioux Falls</v>
      </c>
      <c r="B74" s="3" t="str">
        <v>RN 14</v>
      </c>
      <c r="C74" s="3" t="str">
        <v>Team 4</v>
      </c>
    </row>
    <row r="75" spans="1:3" x14ac:dyDescent="0.25">
      <c r="A75" s="3" t="str">
        <v>Spokane</v>
      </c>
      <c r="B75" s="3" t="str">
        <v>RN 9</v>
      </c>
      <c r="C75" s="3" t="str">
        <v>Team 2</v>
      </c>
    </row>
    <row r="76" spans="1:3" x14ac:dyDescent="0.25">
      <c r="A76" s="3" t="str">
        <v>St. Louis</v>
      </c>
      <c r="B76" s="3" t="str">
        <v>RN 5</v>
      </c>
      <c r="C76" s="3" t="str">
        <v>Team 2</v>
      </c>
    </row>
    <row r="77" spans="1:3" x14ac:dyDescent="0.25">
      <c r="A77" s="3" t="str">
        <v>Temple (Central Texas)</v>
      </c>
      <c r="B77" s="3" t="str">
        <v>RN 7</v>
      </c>
      <c r="C77" s="3" t="str">
        <v>Team 4</v>
      </c>
    </row>
    <row r="78" spans="1:3" x14ac:dyDescent="0.25">
      <c r="A78" s="3" t="str">
        <v>Togus</v>
      </c>
      <c r="B78" s="3" t="str">
        <v>RN 10</v>
      </c>
      <c r="C78" s="3" t="str">
        <v>Team 3</v>
      </c>
    </row>
    <row r="79" spans="1:3" x14ac:dyDescent="0.25">
      <c r="A79" s="3" t="str">
        <v>Topeka</v>
      </c>
      <c r="B79" s="3" t="str">
        <v>RN 5</v>
      </c>
      <c r="C79" s="3" t="str">
        <v>Team 2</v>
      </c>
    </row>
    <row r="80" spans="1:3" x14ac:dyDescent="0.25">
      <c r="A80" s="3" t="str">
        <v>Tucson</v>
      </c>
      <c r="B80" s="3" t="str">
        <v>RN 10</v>
      </c>
      <c r="C80" s="3" t="str">
        <v>Team 2</v>
      </c>
    </row>
    <row r="81" spans="1:3" x14ac:dyDescent="0.25">
      <c r="A81" s="3" t="str">
        <v>Washington DC</v>
      </c>
      <c r="B81" s="3" t="str">
        <v>RN 8</v>
      </c>
      <c r="C81" s="3" t="str">
        <v>Team 3</v>
      </c>
    </row>
    <row r="82" spans="1:3" x14ac:dyDescent="0.25">
      <c r="A82" s="3" t="str">
        <v>West Los Angeles</v>
      </c>
      <c r="B82" s="3" t="str">
        <v>RN 2</v>
      </c>
      <c r="C82" s="3" t="str">
        <v>Team 4</v>
      </c>
    </row>
    <row r="83" spans="1:3" x14ac:dyDescent="0.25">
      <c r="A83" s="3" t="str">
        <v>White River Junction</v>
      </c>
      <c r="B83" s="3" t="str">
        <v>RN 7</v>
      </c>
      <c r="C83" s="3" t="str">
        <v>Team 1</v>
      </c>
    </row>
    <row r="84" spans="1:3" x14ac:dyDescent="0.25">
      <c r="A84" s="3" t="str">
        <v>Wichita</v>
      </c>
      <c r="B84" s="3" t="str">
        <v>RN 9</v>
      </c>
      <c r="C84" s="3" t="str">
        <v>Team 2</v>
      </c>
    </row>
    <row r="85" spans="1:3" x14ac:dyDescent="0.25">
      <c r="A85" s="3" t="str">
        <v>Wilkes-Barre</v>
      </c>
      <c r="B85" s="3" t="str">
        <v>RN 8</v>
      </c>
      <c r="C85" s="3" t="str">
        <v>Team 1</v>
      </c>
    </row>
    <row r="86" spans="1:3" x14ac:dyDescent="0.25">
      <c r="A86" s="3" t="str">
        <v>Wilmington</v>
      </c>
      <c r="B86" s="3" t="str">
        <v>RN 12</v>
      </c>
      <c r="C86" s="3" t="str">
        <v>Team 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5B68-0B4C-410B-85B1-F7CB12A6BC03}">
  <dimension ref="A1:N21"/>
  <sheetViews>
    <sheetView workbookViewId="0">
      <selection activeCell="B4" sqref="B4"/>
    </sheetView>
  </sheetViews>
  <sheetFormatPr defaultRowHeight="15" x14ac:dyDescent="0.25"/>
  <cols>
    <col min="1" max="1" width="20.5703125" customWidth="1"/>
    <col min="2" max="2" width="20.140625" customWidth="1"/>
    <col min="3" max="3" width="19.42578125" style="2" customWidth="1"/>
    <col min="6" max="6" width="18.42578125" customWidth="1"/>
    <col min="7" max="7" width="11" bestFit="1" customWidth="1"/>
    <col min="8" max="8" width="19.140625" customWidth="1"/>
    <col min="11" max="11" width="26.28515625" bestFit="1" customWidth="1"/>
    <col min="12" max="12" width="14.7109375" customWidth="1"/>
    <col min="13" max="13" width="16.42578125" customWidth="1"/>
    <col min="14" max="14" width="12.42578125" style="1" customWidth="1"/>
  </cols>
  <sheetData>
    <row r="1" spans="1:8" x14ac:dyDescent="0.25">
      <c r="A1" t="s">
        <v>173</v>
      </c>
      <c r="B1" s="1" t="s">
        <v>174</v>
      </c>
    </row>
    <row r="2" spans="1:8" x14ac:dyDescent="0.25">
      <c r="A2" t="s">
        <v>175</v>
      </c>
      <c r="B2" s="1">
        <v>14</v>
      </c>
    </row>
    <row r="3" spans="1:8" x14ac:dyDescent="0.25">
      <c r="A3" t="s">
        <v>176</v>
      </c>
      <c r="B3" s="1">
        <v>4</v>
      </c>
    </row>
    <row r="4" spans="1:8" x14ac:dyDescent="0.25">
      <c r="A4" t="s">
        <v>178</v>
      </c>
      <c r="B4" s="1" t="s">
        <v>179</v>
      </c>
    </row>
    <row r="10" spans="1:8" x14ac:dyDescent="0.25">
      <c r="H10" s="2"/>
    </row>
    <row r="11" spans="1:8" ht="30" x14ac:dyDescent="0.25">
      <c r="H11" s="2"/>
    </row>
    <row r="12" spans="1:8" ht="30" x14ac:dyDescent="0.25">
      <c r="H12" s="2"/>
    </row>
    <row r="13" spans="1:8" ht="30" x14ac:dyDescent="0.25">
      <c r="H13" s="2"/>
    </row>
    <row r="14" spans="1:8" ht="30" x14ac:dyDescent="0.25">
      <c r="H14" s="2"/>
    </row>
    <row r="15" spans="1:8" ht="30" x14ac:dyDescent="0.25"/>
    <row r="16" spans="1:8" ht="30" x14ac:dyDescent="0.25"/>
    <row r="17" ht="30" x14ac:dyDescent="0.25"/>
    <row r="18" ht="30" x14ac:dyDescent="0.25"/>
    <row r="20" ht="30" x14ac:dyDescent="0.25"/>
    <row r="21" ht="30" x14ac:dyDescent="0.2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6132-5442-47CE-8754-E0B5E4DF87C5}">
  <dimension ref="A1:D86"/>
  <sheetViews>
    <sheetView workbookViewId="0">
      <selection activeCell="C2" sqref="C2"/>
    </sheetView>
  </sheetViews>
  <sheetFormatPr defaultRowHeight="15" x14ac:dyDescent="0.25"/>
  <cols>
    <col min="1" max="1" width="11.5703125" customWidth="1"/>
    <col min="2" max="2" width="26.28515625" bestFit="1" customWidth="1"/>
    <col min="3" max="3" width="14.140625" customWidth="1"/>
    <col min="4" max="4" width="14.42578125" customWidth="1"/>
    <col min="5" max="5" width="13" customWidth="1"/>
  </cols>
  <sheetData>
    <row r="1" spans="1:4" x14ac:dyDescent="0.25">
      <c r="A1" t="s">
        <v>0</v>
      </c>
      <c r="B1" t="s">
        <v>177</v>
      </c>
      <c r="C1" t="s">
        <v>2</v>
      </c>
      <c r="D1" t="s">
        <v>1</v>
      </c>
    </row>
    <row r="2" spans="1:4" x14ac:dyDescent="0.25">
      <c r="A2" t="s">
        <v>3</v>
      </c>
      <c r="B2" t="s">
        <v>4</v>
      </c>
      <c r="C2">
        <v>3</v>
      </c>
      <c r="D2">
        <v>3</v>
      </c>
    </row>
    <row r="3" spans="1:4" x14ac:dyDescent="0.25">
      <c r="A3" t="s">
        <v>5</v>
      </c>
      <c r="B3" t="s">
        <v>6</v>
      </c>
      <c r="C3">
        <v>2</v>
      </c>
      <c r="D3">
        <v>3</v>
      </c>
    </row>
    <row r="4" spans="1:4" x14ac:dyDescent="0.25">
      <c r="A4" t="s">
        <v>7</v>
      </c>
      <c r="B4" t="s">
        <v>8</v>
      </c>
      <c r="C4">
        <v>8</v>
      </c>
      <c r="D4">
        <v>3</v>
      </c>
    </row>
    <row r="5" spans="1:4" x14ac:dyDescent="0.25">
      <c r="A5" t="s">
        <v>9</v>
      </c>
      <c r="B5" t="s">
        <v>10</v>
      </c>
      <c r="C5">
        <v>10</v>
      </c>
      <c r="D5">
        <v>3</v>
      </c>
    </row>
    <row r="6" spans="1:4" x14ac:dyDescent="0.25">
      <c r="A6" t="s">
        <v>11</v>
      </c>
      <c r="B6" t="s">
        <v>12</v>
      </c>
      <c r="C6">
        <v>11</v>
      </c>
      <c r="D6">
        <v>3</v>
      </c>
    </row>
    <row r="7" spans="1:4" x14ac:dyDescent="0.25">
      <c r="A7" t="s">
        <v>13</v>
      </c>
      <c r="B7" t="s">
        <v>14</v>
      </c>
      <c r="C7">
        <v>6</v>
      </c>
      <c r="D7">
        <v>3</v>
      </c>
    </row>
    <row r="8" spans="1:4" x14ac:dyDescent="0.25">
      <c r="A8" t="s">
        <v>15</v>
      </c>
      <c r="B8" t="s">
        <v>16</v>
      </c>
      <c r="C8">
        <v>7</v>
      </c>
      <c r="D8">
        <v>3</v>
      </c>
    </row>
    <row r="9" spans="1:4" x14ac:dyDescent="0.25">
      <c r="A9" t="s">
        <v>17</v>
      </c>
      <c r="B9" t="s">
        <v>18</v>
      </c>
      <c r="C9">
        <v>17</v>
      </c>
      <c r="D9">
        <v>3</v>
      </c>
    </row>
    <row r="10" spans="1:4" x14ac:dyDescent="0.25">
      <c r="A10" t="s">
        <v>19</v>
      </c>
      <c r="B10" t="s">
        <v>20</v>
      </c>
      <c r="C10">
        <v>15</v>
      </c>
      <c r="D10">
        <v>3</v>
      </c>
    </row>
    <row r="11" spans="1:4" x14ac:dyDescent="0.25">
      <c r="A11" t="s">
        <v>21</v>
      </c>
      <c r="B11" t="s">
        <v>22</v>
      </c>
      <c r="C11">
        <v>2</v>
      </c>
      <c r="D11">
        <v>1</v>
      </c>
    </row>
    <row r="12" spans="1:4" x14ac:dyDescent="0.25">
      <c r="A12" t="s">
        <v>23</v>
      </c>
      <c r="B12" t="s">
        <v>24</v>
      </c>
      <c r="C12">
        <v>0</v>
      </c>
      <c r="D12">
        <v>1</v>
      </c>
    </row>
    <row r="13" spans="1:4" x14ac:dyDescent="0.25">
      <c r="A13" t="s">
        <v>25</v>
      </c>
      <c r="B13" t="s">
        <v>26</v>
      </c>
      <c r="C13">
        <v>2</v>
      </c>
      <c r="D13">
        <v>2</v>
      </c>
    </row>
    <row r="14" spans="1:4" x14ac:dyDescent="0.25">
      <c r="A14" t="s">
        <v>27</v>
      </c>
      <c r="B14" t="s">
        <v>28</v>
      </c>
      <c r="C14">
        <v>12</v>
      </c>
      <c r="D14">
        <v>3</v>
      </c>
    </row>
    <row r="15" spans="1:4" x14ac:dyDescent="0.25">
      <c r="A15" t="s">
        <v>29</v>
      </c>
      <c r="B15" t="s">
        <v>30</v>
      </c>
      <c r="C15">
        <v>1</v>
      </c>
      <c r="D15">
        <v>3</v>
      </c>
    </row>
    <row r="16" spans="1:4" x14ac:dyDescent="0.25">
      <c r="A16" t="s">
        <v>31</v>
      </c>
      <c r="B16" t="s">
        <v>32</v>
      </c>
      <c r="C16">
        <v>9</v>
      </c>
      <c r="D16">
        <v>4</v>
      </c>
    </row>
    <row r="17" spans="1:4" x14ac:dyDescent="0.25">
      <c r="A17" t="s">
        <v>33</v>
      </c>
      <c r="B17" t="s">
        <v>34</v>
      </c>
      <c r="C17">
        <v>7</v>
      </c>
      <c r="D17">
        <v>3</v>
      </c>
    </row>
    <row r="18" spans="1:4" x14ac:dyDescent="0.25">
      <c r="A18" t="s">
        <v>35</v>
      </c>
      <c r="B18" t="s">
        <v>36</v>
      </c>
      <c r="C18">
        <v>5</v>
      </c>
      <c r="D18">
        <v>3</v>
      </c>
    </row>
    <row r="19" spans="1:4" x14ac:dyDescent="0.25">
      <c r="A19" t="s">
        <v>37</v>
      </c>
      <c r="B19" t="s">
        <v>38</v>
      </c>
      <c r="C19">
        <v>3</v>
      </c>
      <c r="D19">
        <v>1</v>
      </c>
    </row>
    <row r="20" spans="1:4" x14ac:dyDescent="0.25">
      <c r="A20" t="s">
        <v>39</v>
      </c>
      <c r="B20" t="s">
        <v>40</v>
      </c>
      <c r="C20">
        <v>1</v>
      </c>
      <c r="D20">
        <v>1</v>
      </c>
    </row>
    <row r="21" spans="1:4" x14ac:dyDescent="0.25">
      <c r="A21" t="s">
        <v>41</v>
      </c>
      <c r="B21" t="s">
        <v>42</v>
      </c>
      <c r="C21">
        <v>8</v>
      </c>
      <c r="D21">
        <v>3</v>
      </c>
    </row>
    <row r="22" spans="1:4" x14ac:dyDescent="0.25">
      <c r="A22" t="s">
        <v>43</v>
      </c>
      <c r="B22" t="s">
        <v>44</v>
      </c>
      <c r="C22">
        <v>11</v>
      </c>
      <c r="D22">
        <v>2</v>
      </c>
    </row>
    <row r="23" spans="1:4" x14ac:dyDescent="0.25">
      <c r="A23" t="s">
        <v>45</v>
      </c>
      <c r="B23" t="s">
        <v>46</v>
      </c>
      <c r="C23">
        <v>17</v>
      </c>
      <c r="D23">
        <v>3</v>
      </c>
    </row>
    <row r="24" spans="1:4" x14ac:dyDescent="0.25">
      <c r="A24" t="s">
        <v>47</v>
      </c>
      <c r="B24" t="s">
        <v>48</v>
      </c>
      <c r="C24">
        <v>5</v>
      </c>
      <c r="D24">
        <v>3</v>
      </c>
    </row>
    <row r="25" spans="1:4" x14ac:dyDescent="0.25">
      <c r="A25" t="s">
        <v>49</v>
      </c>
      <c r="B25" t="s">
        <v>50</v>
      </c>
      <c r="C25">
        <v>6</v>
      </c>
      <c r="D25">
        <v>4</v>
      </c>
    </row>
    <row r="26" spans="1:4" x14ac:dyDescent="0.25">
      <c r="A26" t="s">
        <v>51</v>
      </c>
      <c r="B26" t="s">
        <v>52</v>
      </c>
      <c r="C26">
        <v>5</v>
      </c>
      <c r="D26">
        <v>3</v>
      </c>
    </row>
    <row r="27" spans="1:4" x14ac:dyDescent="0.25">
      <c r="A27" t="s">
        <v>53</v>
      </c>
      <c r="B27" t="s">
        <v>54</v>
      </c>
      <c r="C27">
        <v>2</v>
      </c>
      <c r="D27">
        <v>3</v>
      </c>
    </row>
    <row r="28" spans="1:4" x14ac:dyDescent="0.25">
      <c r="A28" t="s">
        <v>55</v>
      </c>
      <c r="B28" t="s">
        <v>56</v>
      </c>
      <c r="C28">
        <v>4</v>
      </c>
      <c r="D28">
        <v>3</v>
      </c>
    </row>
    <row r="29" spans="1:4" x14ac:dyDescent="0.25">
      <c r="A29" t="s">
        <v>57</v>
      </c>
      <c r="B29" t="s">
        <v>58</v>
      </c>
      <c r="C29">
        <v>8</v>
      </c>
      <c r="D29">
        <v>3</v>
      </c>
    </row>
    <row r="30" spans="1:4" x14ac:dyDescent="0.25">
      <c r="A30" t="s">
        <v>59</v>
      </c>
      <c r="B30" t="s">
        <v>60</v>
      </c>
      <c r="C30">
        <v>5</v>
      </c>
      <c r="D30">
        <v>1</v>
      </c>
    </row>
    <row r="31" spans="1:4" x14ac:dyDescent="0.25">
      <c r="A31" t="s">
        <v>61</v>
      </c>
      <c r="B31" t="s">
        <v>62</v>
      </c>
      <c r="C31">
        <v>6</v>
      </c>
      <c r="D31">
        <v>4</v>
      </c>
    </row>
    <row r="32" spans="1:4" x14ac:dyDescent="0.25">
      <c r="A32" t="s">
        <v>63</v>
      </c>
      <c r="B32" t="s">
        <v>64</v>
      </c>
      <c r="C32">
        <v>1</v>
      </c>
      <c r="D32">
        <v>3</v>
      </c>
    </row>
    <row r="33" spans="1:4" x14ac:dyDescent="0.25">
      <c r="A33" t="s">
        <v>65</v>
      </c>
      <c r="B33" t="s">
        <v>66</v>
      </c>
      <c r="C33">
        <v>0</v>
      </c>
      <c r="D33">
        <v>1</v>
      </c>
    </row>
    <row r="34" spans="1:4" x14ac:dyDescent="0.25">
      <c r="A34" t="s">
        <v>67</v>
      </c>
      <c r="B34" t="s">
        <v>68</v>
      </c>
      <c r="C34">
        <v>1</v>
      </c>
      <c r="D34">
        <v>1</v>
      </c>
    </row>
    <row r="35" spans="1:4" x14ac:dyDescent="0.25">
      <c r="A35" t="s">
        <v>69</v>
      </c>
      <c r="B35" t="s">
        <v>70</v>
      </c>
      <c r="C35">
        <v>0</v>
      </c>
      <c r="D35">
        <v>1</v>
      </c>
    </row>
    <row r="36" spans="1:4" x14ac:dyDescent="0.25">
      <c r="A36" t="s">
        <v>71</v>
      </c>
      <c r="B36" t="s">
        <v>72</v>
      </c>
      <c r="C36">
        <v>1</v>
      </c>
      <c r="D36">
        <v>3</v>
      </c>
    </row>
    <row r="37" spans="1:4" x14ac:dyDescent="0.25">
      <c r="A37" t="s">
        <v>73</v>
      </c>
      <c r="B37" t="s">
        <v>74</v>
      </c>
      <c r="C37">
        <v>8</v>
      </c>
      <c r="D37">
        <v>3</v>
      </c>
    </row>
    <row r="38" spans="1:4" x14ac:dyDescent="0.25">
      <c r="A38" t="s">
        <v>75</v>
      </c>
      <c r="B38" t="s">
        <v>76</v>
      </c>
      <c r="C38">
        <v>31</v>
      </c>
      <c r="D38">
        <v>3</v>
      </c>
    </row>
    <row r="39" spans="1:4" x14ac:dyDescent="0.25">
      <c r="A39" t="s">
        <v>77</v>
      </c>
      <c r="B39" t="s">
        <v>78</v>
      </c>
      <c r="C39">
        <v>3</v>
      </c>
      <c r="D39">
        <v>2</v>
      </c>
    </row>
    <row r="40" spans="1:4" x14ac:dyDescent="0.25">
      <c r="A40" t="s">
        <v>79</v>
      </c>
      <c r="B40" t="s">
        <v>80</v>
      </c>
      <c r="C40">
        <v>4</v>
      </c>
      <c r="D40">
        <v>1</v>
      </c>
    </row>
    <row r="41" spans="1:4" x14ac:dyDescent="0.25">
      <c r="A41" t="s">
        <v>81</v>
      </c>
      <c r="B41" t="s">
        <v>82</v>
      </c>
      <c r="C41">
        <v>30</v>
      </c>
      <c r="D41">
        <v>3</v>
      </c>
    </row>
    <row r="42" spans="1:4" x14ac:dyDescent="0.25">
      <c r="A42" t="s">
        <v>83</v>
      </c>
      <c r="B42" t="s">
        <v>84</v>
      </c>
      <c r="C42">
        <v>3</v>
      </c>
      <c r="D42">
        <v>3</v>
      </c>
    </row>
    <row r="43" spans="1:4" x14ac:dyDescent="0.25">
      <c r="A43" t="s">
        <v>85</v>
      </c>
      <c r="B43" t="s">
        <v>86</v>
      </c>
      <c r="C43">
        <v>9</v>
      </c>
      <c r="D43">
        <v>3</v>
      </c>
    </row>
    <row r="44" spans="1:4" x14ac:dyDescent="0.25">
      <c r="A44" t="s">
        <v>87</v>
      </c>
      <c r="B44" t="s">
        <v>88</v>
      </c>
      <c r="C44">
        <v>6</v>
      </c>
      <c r="D44">
        <v>3</v>
      </c>
    </row>
    <row r="45" spans="1:4" x14ac:dyDescent="0.25">
      <c r="A45" t="s">
        <v>89</v>
      </c>
      <c r="B45" t="s">
        <v>90</v>
      </c>
      <c r="C45">
        <v>2</v>
      </c>
      <c r="D45">
        <v>3</v>
      </c>
    </row>
    <row r="46" spans="1:4" x14ac:dyDescent="0.25">
      <c r="A46" t="s">
        <v>91</v>
      </c>
      <c r="B46" t="s">
        <v>92</v>
      </c>
      <c r="C46">
        <v>13</v>
      </c>
      <c r="D46">
        <v>3</v>
      </c>
    </row>
    <row r="47" spans="1:4" x14ac:dyDescent="0.25">
      <c r="A47" t="s">
        <v>93</v>
      </c>
      <c r="B47" t="s">
        <v>94</v>
      </c>
      <c r="C47">
        <v>6</v>
      </c>
      <c r="D47">
        <v>3</v>
      </c>
    </row>
    <row r="48" spans="1:4" x14ac:dyDescent="0.25">
      <c r="A48" t="s">
        <v>95</v>
      </c>
      <c r="B48" t="s">
        <v>96</v>
      </c>
      <c r="C48">
        <v>1</v>
      </c>
      <c r="D48">
        <v>1</v>
      </c>
    </row>
    <row r="49" spans="1:4" x14ac:dyDescent="0.25">
      <c r="A49" t="s">
        <v>97</v>
      </c>
      <c r="B49" t="s">
        <v>98</v>
      </c>
      <c r="C49">
        <v>4</v>
      </c>
      <c r="D49">
        <v>3</v>
      </c>
    </row>
    <row r="50" spans="1:4" x14ac:dyDescent="0.25">
      <c r="A50" t="s">
        <v>99</v>
      </c>
      <c r="B50" t="s">
        <v>100</v>
      </c>
      <c r="C50">
        <v>26</v>
      </c>
      <c r="D50">
        <v>3</v>
      </c>
    </row>
    <row r="51" spans="1:4" x14ac:dyDescent="0.25">
      <c r="A51" t="s">
        <v>101</v>
      </c>
      <c r="B51" t="s">
        <v>102</v>
      </c>
      <c r="C51">
        <v>4</v>
      </c>
      <c r="D51">
        <v>1</v>
      </c>
    </row>
    <row r="52" spans="1:4" x14ac:dyDescent="0.25">
      <c r="A52" t="s">
        <v>103</v>
      </c>
      <c r="B52" t="s">
        <v>104</v>
      </c>
      <c r="C52">
        <v>16</v>
      </c>
      <c r="D52">
        <v>3</v>
      </c>
    </row>
    <row r="53" spans="1:4" x14ac:dyDescent="0.25">
      <c r="A53" t="s">
        <v>105</v>
      </c>
      <c r="B53" t="s">
        <v>106</v>
      </c>
      <c r="C53">
        <v>7</v>
      </c>
      <c r="D53">
        <v>3</v>
      </c>
    </row>
    <row r="54" spans="1:4" x14ac:dyDescent="0.25">
      <c r="A54" t="s">
        <v>107</v>
      </c>
      <c r="B54" t="s">
        <v>108</v>
      </c>
      <c r="C54">
        <v>2</v>
      </c>
      <c r="D54">
        <v>1</v>
      </c>
    </row>
    <row r="55" spans="1:4" x14ac:dyDescent="0.25">
      <c r="A55" t="s">
        <v>109</v>
      </c>
      <c r="B55" t="s">
        <v>110</v>
      </c>
      <c r="C55">
        <v>13</v>
      </c>
      <c r="D55">
        <v>3</v>
      </c>
    </row>
    <row r="56" spans="1:4" x14ac:dyDescent="0.25">
      <c r="A56" t="s">
        <v>111</v>
      </c>
      <c r="B56" t="s">
        <v>112</v>
      </c>
      <c r="C56">
        <v>9</v>
      </c>
      <c r="D56">
        <v>3</v>
      </c>
    </row>
    <row r="57" spans="1:4" x14ac:dyDescent="0.25">
      <c r="A57" t="s">
        <v>113</v>
      </c>
      <c r="B57" t="s">
        <v>114</v>
      </c>
      <c r="C57">
        <v>9</v>
      </c>
      <c r="D57">
        <v>3</v>
      </c>
    </row>
    <row r="58" spans="1:4" x14ac:dyDescent="0.25">
      <c r="A58" t="s">
        <v>115</v>
      </c>
      <c r="B58" t="s">
        <v>116</v>
      </c>
      <c r="C58">
        <v>6</v>
      </c>
      <c r="D58">
        <v>1</v>
      </c>
    </row>
    <row r="59" spans="1:4" x14ac:dyDescent="0.25">
      <c r="A59" t="s">
        <v>117</v>
      </c>
      <c r="B59" t="s">
        <v>118</v>
      </c>
      <c r="C59">
        <v>2</v>
      </c>
      <c r="D59">
        <v>4</v>
      </c>
    </row>
    <row r="60" spans="1:4" x14ac:dyDescent="0.25">
      <c r="A60" t="s">
        <v>119</v>
      </c>
      <c r="B60" t="s">
        <v>120</v>
      </c>
      <c r="C60">
        <v>0</v>
      </c>
      <c r="D60">
        <v>3</v>
      </c>
    </row>
    <row r="61" spans="1:4" x14ac:dyDescent="0.25">
      <c r="A61" t="s">
        <v>121</v>
      </c>
      <c r="B61" t="s">
        <v>122</v>
      </c>
      <c r="C61">
        <v>5</v>
      </c>
      <c r="D61">
        <v>3</v>
      </c>
    </row>
    <row r="62" spans="1:4" x14ac:dyDescent="0.25">
      <c r="A62" t="s">
        <v>123</v>
      </c>
      <c r="B62" t="s">
        <v>124</v>
      </c>
      <c r="C62">
        <v>6</v>
      </c>
      <c r="D62">
        <v>3</v>
      </c>
    </row>
    <row r="63" spans="1:4" x14ac:dyDescent="0.25">
      <c r="A63" t="s">
        <v>125</v>
      </c>
      <c r="B63" t="s">
        <v>126</v>
      </c>
      <c r="C63">
        <v>4</v>
      </c>
      <c r="D63">
        <v>3</v>
      </c>
    </row>
    <row r="64" spans="1:4" x14ac:dyDescent="0.25">
      <c r="A64" t="s">
        <v>127</v>
      </c>
      <c r="B64" t="s">
        <v>128</v>
      </c>
      <c r="C64">
        <v>12</v>
      </c>
      <c r="D64">
        <v>3</v>
      </c>
    </row>
    <row r="65" spans="1:4" x14ac:dyDescent="0.25">
      <c r="A65" t="s">
        <v>129</v>
      </c>
      <c r="B65" t="s">
        <v>130</v>
      </c>
      <c r="C65">
        <v>17</v>
      </c>
      <c r="D65">
        <v>3</v>
      </c>
    </row>
    <row r="66" spans="1:4" x14ac:dyDescent="0.25">
      <c r="A66" t="s">
        <v>131</v>
      </c>
      <c r="B66" t="s">
        <v>132</v>
      </c>
      <c r="C66">
        <v>8</v>
      </c>
      <c r="D66">
        <v>3</v>
      </c>
    </row>
    <row r="67" spans="1:4" x14ac:dyDescent="0.25">
      <c r="A67" t="s">
        <v>133</v>
      </c>
      <c r="B67" t="s">
        <v>134</v>
      </c>
      <c r="C67">
        <v>10</v>
      </c>
      <c r="D67">
        <v>3</v>
      </c>
    </row>
    <row r="68" spans="1:4" x14ac:dyDescent="0.25">
      <c r="A68" t="s">
        <v>135</v>
      </c>
      <c r="B68" t="s">
        <v>136</v>
      </c>
      <c r="C68">
        <v>13</v>
      </c>
      <c r="D68">
        <v>3</v>
      </c>
    </row>
    <row r="69" spans="1:4" x14ac:dyDescent="0.25">
      <c r="A69" t="s">
        <v>137</v>
      </c>
      <c r="B69" t="s">
        <v>138</v>
      </c>
      <c r="C69">
        <v>6</v>
      </c>
      <c r="D69">
        <v>3</v>
      </c>
    </row>
    <row r="70" spans="1:4" x14ac:dyDescent="0.25">
      <c r="A70" t="s">
        <v>139</v>
      </c>
      <c r="B70" t="s">
        <v>140</v>
      </c>
      <c r="C70">
        <v>5</v>
      </c>
      <c r="D70">
        <v>3</v>
      </c>
    </row>
    <row r="71" spans="1:4" x14ac:dyDescent="0.25">
      <c r="A71" t="s">
        <v>141</v>
      </c>
      <c r="B71" t="s">
        <v>142</v>
      </c>
      <c r="C71">
        <v>12</v>
      </c>
      <c r="D71">
        <v>3</v>
      </c>
    </row>
    <row r="72" spans="1:4" x14ac:dyDescent="0.25">
      <c r="A72" t="s">
        <v>143</v>
      </c>
      <c r="B72" t="s">
        <v>144</v>
      </c>
      <c r="C72">
        <v>31</v>
      </c>
      <c r="D72">
        <v>3</v>
      </c>
    </row>
    <row r="73" spans="1:4" x14ac:dyDescent="0.25">
      <c r="A73" t="s">
        <v>145</v>
      </c>
      <c r="B73" t="s">
        <v>146</v>
      </c>
      <c r="C73">
        <v>3</v>
      </c>
      <c r="D73">
        <v>3</v>
      </c>
    </row>
    <row r="74" spans="1:4" x14ac:dyDescent="0.25">
      <c r="A74" t="s">
        <v>147</v>
      </c>
      <c r="B74" t="s">
        <v>148</v>
      </c>
      <c r="C74">
        <v>1</v>
      </c>
      <c r="D74">
        <v>3</v>
      </c>
    </row>
    <row r="75" spans="1:4" x14ac:dyDescent="0.25">
      <c r="A75" t="s">
        <v>149</v>
      </c>
      <c r="B75" t="s">
        <v>150</v>
      </c>
      <c r="C75">
        <v>1</v>
      </c>
      <c r="D75">
        <v>1</v>
      </c>
    </row>
    <row r="76" spans="1:4" x14ac:dyDescent="0.25">
      <c r="A76" t="s">
        <v>151</v>
      </c>
      <c r="B76" t="s">
        <v>152</v>
      </c>
      <c r="C76">
        <v>7</v>
      </c>
      <c r="D76">
        <v>3</v>
      </c>
    </row>
    <row r="77" spans="1:4" x14ac:dyDescent="0.25">
      <c r="A77" t="s">
        <v>153</v>
      </c>
      <c r="B77" t="s">
        <v>154</v>
      </c>
      <c r="C77">
        <v>2</v>
      </c>
      <c r="D77">
        <v>1</v>
      </c>
    </row>
    <row r="78" spans="1:4" x14ac:dyDescent="0.25">
      <c r="A78" t="s">
        <v>155</v>
      </c>
      <c r="B78" t="s">
        <v>156</v>
      </c>
      <c r="C78">
        <v>6</v>
      </c>
      <c r="D78">
        <v>3</v>
      </c>
    </row>
    <row r="79" spans="1:4" x14ac:dyDescent="0.25">
      <c r="A79" t="s">
        <v>157</v>
      </c>
      <c r="B79" t="s">
        <v>158</v>
      </c>
      <c r="C79">
        <v>4</v>
      </c>
      <c r="D79">
        <v>3</v>
      </c>
    </row>
    <row r="80" spans="1:4" x14ac:dyDescent="0.25">
      <c r="A80" t="s">
        <v>159</v>
      </c>
      <c r="B80" t="s">
        <v>160</v>
      </c>
      <c r="C80">
        <v>1</v>
      </c>
      <c r="D80">
        <v>1</v>
      </c>
    </row>
    <row r="81" spans="1:4" x14ac:dyDescent="0.25">
      <c r="A81" t="s">
        <v>161</v>
      </c>
      <c r="B81" t="s">
        <v>162</v>
      </c>
      <c r="C81">
        <v>14</v>
      </c>
      <c r="D81">
        <v>3</v>
      </c>
    </row>
    <row r="82" spans="1:4" x14ac:dyDescent="0.25">
      <c r="A82" t="s">
        <v>163</v>
      </c>
      <c r="B82" t="s">
        <v>164</v>
      </c>
      <c r="C82">
        <v>9</v>
      </c>
      <c r="D82">
        <v>3</v>
      </c>
    </row>
    <row r="83" spans="1:4" x14ac:dyDescent="0.25">
      <c r="A83" t="s">
        <v>165</v>
      </c>
      <c r="B83" t="s">
        <v>166</v>
      </c>
      <c r="C83">
        <v>4</v>
      </c>
      <c r="D83">
        <v>3</v>
      </c>
    </row>
    <row r="84" spans="1:4" x14ac:dyDescent="0.25">
      <c r="A84" t="s">
        <v>167</v>
      </c>
      <c r="B84" t="s">
        <v>168</v>
      </c>
      <c r="C84">
        <v>5</v>
      </c>
      <c r="D84">
        <v>3</v>
      </c>
    </row>
    <row r="85" spans="1:4" x14ac:dyDescent="0.25">
      <c r="A85" t="s">
        <v>169</v>
      </c>
      <c r="B85" t="s">
        <v>170</v>
      </c>
      <c r="C85">
        <v>3</v>
      </c>
      <c r="D85">
        <v>1</v>
      </c>
    </row>
    <row r="86" spans="1:4" x14ac:dyDescent="0.25">
      <c r="A86" t="s">
        <v>171</v>
      </c>
      <c r="B86" t="s">
        <v>172</v>
      </c>
      <c r="C86">
        <v>3</v>
      </c>
      <c r="D86">
        <v>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RN_Distribution</vt:lpstr>
      <vt:lpstr>Provider_Teams</vt:lpstr>
      <vt:lpstr>Cross_Walk</vt:lpstr>
      <vt:lpstr>Staff_Inputs</vt:lpstr>
      <vt:lpstr>Census_Inputs</vt:lpstr>
    </vt:vector>
  </TitlesOfParts>
  <Company>Dept.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Phillips, David E.</dc:creator>
  <cp:lastModifiedBy>Phillips, David E.</cp:lastModifiedBy>
  <dcterms:created xsi:type="dcterms:W3CDTF">2025-12-13T08:29:12Z</dcterms:created>
  <dcterms:modified xsi:type="dcterms:W3CDTF">2025-12-14T23:15:26Z</dcterms:modified>
</cp:coreProperties>
</file>