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f73a47e4d47959/NTAAT/"/>
    </mc:Choice>
  </mc:AlternateContent>
  <xr:revisionPtr revIDLastSave="128" documentId="8_{B27F8744-7E53-4729-A143-B0D0184CC558}" xr6:coauthVersionLast="47" xr6:coauthVersionMax="47" xr10:uidLastSave="{B80AACFD-102C-498F-9BC5-F85986BE77C5}"/>
  <bookViews>
    <workbookView xWindow="-120" yWindow="-120" windowWidth="29040" windowHeight="15720" tabRatio="874" activeTab="6" xr2:uid="{D5220610-03C9-4A02-87B7-B4FE5B580C07}"/>
  </bookViews>
  <sheets>
    <sheet name="Census_Data" sheetId="1" r:id="rId1"/>
    <sheet name="RN_Inputs" sheetId="2" r:id="rId2"/>
    <sheet name="MD_Inputs" sheetId="3" r:id="rId3"/>
    <sheet name="RN_Assignments" sheetId="4" r:id="rId4"/>
    <sheet name="MD_Assignments" sheetId="5" r:id="rId5"/>
    <sheet name="Summary" sheetId="7" r:id="rId6"/>
    <sheet name="Notes" sheetId="6" r:id="rId7"/>
  </sheets>
  <definedNames>
    <definedName name="MD_Count">MD_Inputs!$B$1</definedName>
    <definedName name="RN_ContinuityWeight">RN_Inputs!$B$2</definedName>
    <definedName name="RN_Count">RN_Inputs!$B$1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A1" i="4" l="1"/>
  <c r="A1" i="5" a="1"/>
  <c r="A1" i="5" l="1"/>
  <c r="A3" i="7" a="1"/>
  <c r="A3" i="7" l="1"/>
  <c r="J3" i="7" a="1"/>
  <c r="J3" i="7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import pandas as pd
# ----------------------------
# Config (RN)
# ----------------------------
PREFIX = "Nurse"
# Load RN count
try:
    rn_count = xl(%P2%)
    rn_count = int(rn_count.iloc[0, 0]) if hasattr(rn_count, "iloc") else int(rn_count)
except Exception:
    rn_count = 18
# Continuity weight (penalty if moving a site off incumbent)
try:
    w = xl(%P3%)
    continuity_weight = float(w.iloc[0, 0]) if hasattr(w, "iloc") else float(w)
except Exception:
    continuity_weight = 5.0
# ----------------------------
# Load and clean Census (ABQ-safe)
# ----------------------------
# Load without headers to avoid the "ABQ becomes a column name" issue.
census_raw = xl(%P4%, headers=False)
# Expect columns in this order: SiteCode, FacilityName, TotalCensus, Category (Category may exist but RN doesn't need it)
census_raw = census_raw.iloc[:, :4].copy()
census_raw.columns = ["SiteCode", "FacilityName", "TotalCensus", "Category"]
census_raw["SiteCode"] = census_raw["SiteCode"].astype(str).str.strip()
census_raw["FacilityName"] = census_raw["FacilityName"].astype(str).str.strip()
# Keep zero-census sites; coerce blanks/text to 0
census_raw["TotalCensus"] = pd.to_numeric(census_raw["TotalCensus"], errors="coerce").fillna(0).astype(int)
# Drop rows with blank SiteCode
census = census_raw[census_raw["SiteCode"].ne("")].copy()
expected_sites = set(census["SiteCode"])
expected_total = int(census["TotalCensus"].sum())
site_census = dict(zip(census["SiteCode"], census["TotalCensus"]))
site_name = dict(zip(census["SiteCode"], census["FacilityName"]))
# ----------------------------
# Load previous assignments (RN_Previous)
# ----------------------------
prev_map = {}  # StaffID -&gt; set(SiteCode)
try:
    prev = xl(%P5%, headers=True)
except Exception:
    prev = None
if prev is not None and isinstance(prev, pd.DataFrame) and not prev.empty:
    p = prev.copy()
    p.columns = [str(c).strip() for c in p.columns]
    # Normalize to StaffID, SiteCode
    if "StaffID" in p.columns and "SiteCode" in p.columns:
        p = p[["StaffID", "SiteCode"]]
    else:
        p = p.iloc[:, :2].copy()
        p.columns = ["StaffID", "SiteCode"]
    p["StaffID"] = p["StaffID"].astype(str).str.strip()
    p["SiteCode"] = p["SiteCode"].astype(str).str.strip()
    p = p[(p["StaffID"].ne("")) &amp; (p["SiteCode"].ne(""))]
    prev_map = p.groupby("StaffID")["SiteCode"].apply(lambda x: set(x)).to_dict()
# ----------------------------
# Special rules
# ----------------------------
# Cluster: SPO + DOD + HOU together (fallback: SPO + DOD)
CLUSTER3_KEY = "SPO_DOD_HOU_CLUSTER"
CLUSTER2_KEY = "SPO_DOD_CLUSTER"
cluster_key = None
cluster_members = []
working = site_census.copy()
if ("SPO" in working) and ("DOD" in working) and ("HOU" in working):
    cluster_key = CLUSTER3_KEY
    cluster_members = ["SPO", "DOD", "HOU"]
    working[cluster_key] = working.pop("SPO") + working.pop("DOD") + working.pop("HOU")
elif ("SPO" in working) and ("DOD" in working):
    cluster_key = CLUSTER2_KEY
    cluster_members = ["SPO", "DOD"]
    working[cluster_key] = working.pop("SPO") + working.pop("DOD")
conflict_sets = [
    {"FAV", "FNC"},
    {"CMO", "CMS"},
]
def violates_conflict(existing_sites, new_site):
    ss = set(existing_sites)
    for s in conflict_sets:
        if new_site in s and len(s.intersection(ss)) &gt; 0:
            return True
    return False
def is_incumbent(staff_id, site):
    incumbents = prev_map.get(staff_id, set())
    if (cluster_key is not None) and (site == cluster_key):
        return any(m in incumbents for m in cluster_members)
    return site in incumbents
# ----------------------------
# Assignment engine (greedy + deterministic tie-breaks)
# ----------------------------
staff_ids = [f"{PREFIX} {i+1}" for i in range(rn_count)]
staff_state = {s: {"load": 0, "sites": []} for s in staff_ids}
sorted_sites = sorted(working.items(), key=lambda x: x[1], reverse=True)
for site, load in sorted_sites:
    def score(staff_id):
        cur_load = staff_state[staff_id]["load"]
        cur_sites = staff_state[staff_id]["sites"]
        if violates_conflict(cur_sites, site):
            return (10**9, 10**9, 10**9, staff_id)
        penalty = 0.0 if is_incumbent(staff_id, site) else continuity_weight
        projected = cur_load + load + penalty
        return (projected, len(cur_sites), cur_load, staff_id)
    best = min(staff_ids, key=score)
    staff_state[best]["load"] += int(load)
    staff_state[best]["sites"].append(site)
# ----------------------------
# Expand cluster and produce output
# ----------------------------
rows = []
for staff_id, d in staff_state.items():
    for assigned_site in d["sites"]:
        if (cluster_key is not None) and (assigned_site == cluster_key):
            for sub in cluster_members:
                rows.append({
                    "StaffID": staff_id,
                    "SiteCode": sub,
                    "FacilityName": site_name.get(sub, ""),
                    "PatientCount": int(site_census.get(sub, 0))
                })
        else:
            rows.append({
                "StaffID": staff_id,
                "SiteCode": assigned_site,
                "FacilityName": site_name.get(assigned_site, ""),
                "PatientCount": int(site_census.get(assigned_site, 0))
            })
out = pd.DataFrame(rows)
# ----------------------------
# Validation (fail loud)
# ----------------------------
assigned_sites = set(out["SiteCode"])
missing = expected_sites - assigned_sites
extra = assigned_sites - expected_sites
assigned_total = int(out["PatientCount"].sum())
if missing:
    raise ValueError(f"RN output missing sites: {sorted(list(missing))}")
if extra:
    raise ValueError(f"RN output has unexpected sites: {sorted(list(extra))}")
if assigned_total != expected_total:
    raise ValueError(f"RN total mismatch: assigned={assigned_total}, expected={expected_total}")
import re
def staff_sort_key(x: str) -&gt; int:
    m = re.search(r"(\d+)\s*$", str(x))
    return int(m.group(1)) if m else 10**9
out["_staff_sort"] = out["StaffID"].apply(staff_sort_key)
out.sort_values(["_staff_sort", "StaffID", "SiteCode"]) \
   .drop(columns=["_staff_sort"]) \
   .reset_index(drop=True)
</code>
    </pythonScript>
    <pythonScript>
      <code xml:space="preserve">import pandas as pd
# ============================================================
# MD DETAILED ASSIGNMENTS (Continuity ALWAYS wins)
# Cluster rule: SPO + DOD + HOU together (fallback: SPO + DOD if HOU missing)
# Conflict rule: cannot pair CMO/CMS or FAV/FNC on same provider
# ============================================================
# --- Inputs ---
md_count_raw = xl(%P2%)
md_count_raw = md_count_raw.iloc[0,0] if hasattr(md_count_raw,"iloc") else md_count_raw
md_count = int(pd.to_numeric(md_count_raw, errors="raise"))
CONTINUITY_PENALTY = 50
CAT1_STEP_PENALTY = 10  # tie-breaker only (never overrides continuity)
teams = [f"MD Team {i+1}" for i in range(md_count)]
# --- Census (robust) ---
c = xl(%P3%, headers=False)
c = c.iloc[:, :4].copy()
c.columns = ["SiteCode","FacilityName","TotalCensus","Category"]
c["SiteCode"] = c["SiteCode"].astype(str).str.strip()
c["FacilityName"] = c["FacilityName"].astype(str).str.strip()
c["TotalCensus"] = pd.to_numeric(c["TotalCensus"], errors="coerce").fillna(0).astype(int)
c["Category"] = pd.to_numeric(c["Category"], errors="coerce").fillna(0).astype(int)
site_census = dict(zip(c["SiteCode"], c["TotalCensus"]))
site_name   = dict(zip(c["SiteCode"], c["FacilityName"]))
site_cat    = dict(zip(c["SiteCode"], c["Category"]))
# --- Previous assignments (continuity; OK if empty) ---
prev_map = {}
try:
    prev = xl(%P4%, headers=True)
except Exception:
    prev = None
if isinstance(prev, pd.DataFrame) and not prev.empty:
    p = prev.iloc[:, :2].copy()
    p.columns = ["StaffID","SiteCode"]
    p["StaffID"] = p["StaffID"].astype(str).str.strip()
    p["SiteCode"] = p["SiteCode"].astype(str).str.strip()
    p = p[(p["StaffID"] != "") &amp; (p["SiteCode"] != "")]
    prev_map = p.groupby("StaffID")["SiteCode"].apply(set).to_dict()
# --- Special rules ---
# New cluster: SPO + DOD + HOU together (fallback: SPO + DOD)
CLUSTER3_KEY = "SPO_DOD_HOU_CLUSTER"
CLUSTER2_KEY = "SPO_DOD_CLUSTER"
cluster_key = None
cluster_members = []
working = site_census.copy()
if ("SPO" in working) and ("DOD" in working) and ("HOU" in working):
    cluster_key = CLUSTER3_KEY
    cluster_members = ["SPO", "DOD", "HOU"]
    working[cluster_key] = working.pop("SPO") + working.pop("DOD") + working.pop("HOU")
elif ("SPO" in working) and ("DOD" in working):
    cluster_key = CLUSTER2_KEY
    cluster_members = ["SPO", "DOD"]
    working[cluster_key] = working.pop("SPO") + working.pop("DOD")
# Conflict pairs: cannot be on same MD
CONFLICT_SETS = [{"CMO","CMS"}, {"FAV","FNC"}]
def violates_conflict(existing_sites, new_site):
    s = set(existing_sites)
    for cs in CONFLICT_SETS:
        if new_site in cs and len(cs.intersection(s)) &gt; 0:
            return True
    return False
def was_incumbent(team, site):
    incumbents = prev_map.get(team, set())
    if (cluster_key is not None) and (site == cluster_key):
        # incumbent if they had any member of the cluster previously
        return any(m in incumbents for m in cluster_members)
    return site in incumbents
def is_cat1_site(site):
    # For the cluster, treat as Cat1 if ANY member is Cat1 (edit later if desired)
    if (cluster_key is not None) and (site == cluster_key):
        return any(site_cat.get(m, 0) == 1 for m in cluster_members)
    return site_cat.get(site, 0) == 1
# --- Assignment state ---
state = {t: {"patients": 0, "sites": [], "cat1_count": 0} for t in teams}
for site, load in sorted(working.items(), key=lambda x: x[1], reverse=True):
    site_is_cat1 = is_cat1_site(site)
    min_cat1 = min(state[t]["cat1_count"] for t in teams) if teams else 0
    def score(team):
        if violates_conflict(state[team]["sites"], site):
            return (10**9, 10**9, 10**9, team)
        # 1) Continuity (dominant)
        cont_penalty = 0 if was_incumbent(team, site) else CONTINUITY_PENALTY
        # 2) Category-1 balance (tie-breaker only)
        cat1_penalty = 0
        if site_is_cat1:
            lead = state[team]["cat1_count"] - min_cat1
            if lead &gt; 0:
                cat1_penalty = lead * CAT1_STEP_PENALTY
        # 3) Patient load balance
        projected_patients = state[team]["patients"] + int(load)
        return (cont_penalty, cat1_penalty, projected_patients, team)
    best = min(teams, key=score)
    state[best]["patients"] += int(load)
    state[best]["sites"].append(site)
    if site_is_cat1:
        state[best]["cat1_count"] += 1
# --- Detailed output (expand cluster back into member rows) ---
rows = []
for team, st in state.items():
    for assigned_site in st["sites"]:
        if (cluster_key is not None) and (assigned_site == cluster_key):
            for sub in cluster_members:
                rows.append({
                    "StaffID": team,
                    "SiteCode": sub,
                    "FacilityName": site_name.get(sub, ""),
                    "PatientCount": int(site_census.get(sub, 0)),
                    "Category": int(site_cat.get(sub, 0)),
                })
        else:
            rows.append({
                "StaffID": team,
                "SiteCode": assigned_site,
                "FacilityName": site_name.get(assigned_site, ""),
                "PatientCount": int(site_census.get(assigned_site, 0)),
                "Category": int(site_cat.get(assigned_site, 0)),
            })
import re
out = pd.DataFrame(rows)
def staff_sort_key(x: str) -&gt; int:
    m = re.search(r"(\d+)\s*$", str(x))
    return int(m.group(1)) if m else 10**9
out["_staff_sort"] = out["StaffID"].apply(staff_sort_key)
out = out.sort_values(["_staff_sort", "StaffID", "SiteCode"]) \
         .drop(columns=["_staff_sort"]) \
         .reset_index(drop=True)
out
</code>
    </pythonScript>
    <pythonScript>
      <code>import pandas as pd
import re
d = xl(%P2%, headers=True)
d.columns = [str(c).strip() for c in d.columns]
required = ["StaffID", "SiteCode", "FacilityName", "PatientCount", "Category"]
missing = [c for c in required if c not in d.columns]
if missing:
    raise ValueError(f"MD detailed table missing columns: {missing}. Found: {list(d.columns)}")
d = d[required].copy()
d["StaffID"] = d["StaffID"].astype(str).str.strip()
d["SiteCode"] = d["SiteCode"].astype(str).str.strip()
d["PatientCount"] = pd.to_numeric(d["PatientCount"], errors="coerce").fillna(0).astype(int)
d["Category"] = pd.to_numeric(d["Category"], errors="coerce").fillna(0).astype(int)
d = d[(d["StaffID"] != "") &amp; (d["StaffID"].str.lower() != "none")]
summary = (
    d.groupby("StaffID", as_index=False)
     .agg(
        TotalPatients=("PatientCount", "sum"),
        TotalSites=("SiteCode", "count"),
        Cat1Sites=("Category", lambda s: int((s == 1).sum())),
        Cat2Sites=("Category", lambda s: int((s == 2).sum())),
        Cat3Sites=("Category", lambda s: int((s == 3).sum())),
        Cat4Sites=("Category", lambda s: int((s == 4).sum())),
     )
)
def staff_sort_key(x: str) -&gt; int:
    m = re.search(r"(\d+)\s*$", str(x))
    return int(m.group(1)) if m else 10**9
summary["_sort"] = summary["StaffID"].apply(staff_sort_key)
summary = summary.sort_values(["_sort", "StaffID"]).drop(columns=["_sort"]).reset_index(drop=True)
totals = pd.DataFrame([{
    "StaffID": "TOTAL",
    "TotalPatients": summary["TotalPatients"].sum(),
    "TotalSites": summary["TotalSites"].sum(),
    "Cat1Sites": summary["Cat1Sites"].sum(),
    "Cat2Sites": summary["Cat2Sites"].sum(),
    "Cat3Sites": summary["Cat3Sites"].sum(),
    "Cat4Sites": summary["Cat4Sites"].sum(),
}])
pd.concat([summary, totals], ignore_index=True)</code>
    </pythonScript>
    <pythonScript>
      <code>import pandas as pd
import re
d = xl(%P2%, headers=True)
d.columns = [str(c).strip() for c in d.columns]
required = ["StaffID", "SiteCode", "PatientCount"]
missing = [c for c in required if c not in d.columns]
if missing:
    raise ValueError(f"RN detailed table missing columns: {missing}. Found: {list(d.columns)}")
d = d[required].copy()
d["StaffID"] = d["StaffID"].astype(str).str.strip()
d["SiteCode"] = d["SiteCode"].astype(str).str.strip()
d["PatientCount"] = pd.to_numeric(d["PatientCount"], errors="coerce").fillna(0).astype(int)
d = d[(d["StaffID"] != "") &amp; (d["StaffID"].str.lower() != "none")]
summary = (
    d.groupby("StaffID", as_index=False)
     .agg(
        TotalPatients=("PatientCount", "sum"),
        TotalSites=("SiteCode", "count"),
     )
)
# Natural sort key: extract trailing number from "Nurse 12"
def staff_sort_key(x: str) -&gt; int:
    m = re.search(r"(\d+)\s*$", str(x))
    return int(m.group(1)) if m else 10**9
summary["_sort"] = summary["StaffID"].apply(staff_sort_key)
summary = summary.sort_values(["_sort", "StaffID"]).drop(columns=["_sort"]).reset_index(drop=True)
totals = pd.DataFrame([{
    "StaffID": "TOTAL",
    "TotalPatients": summary["TotalPatients"].sum(),
    "TotalSites": summary["TotalSites"].sum(),
}])
pd.concat([summary, totals], ignore_index=True)</code>
    </pythonScript>
  </pythonScripts>
</python>
</file>

<file path=xl/sharedStrings.xml><?xml version="1.0" encoding="utf-8"?>
<sst xmlns="http://schemas.openxmlformats.org/spreadsheetml/2006/main" count="522" uniqueCount="201">
  <si>
    <t>SiteCode</t>
  </si>
  <si>
    <t>FacilityName</t>
  </si>
  <si>
    <t>TotalCensus</t>
  </si>
  <si>
    <t>Category</t>
  </si>
  <si>
    <t>ABQ</t>
  </si>
  <si>
    <t>SPO</t>
  </si>
  <si>
    <t>Spokane</t>
  </si>
  <si>
    <t>DOD</t>
  </si>
  <si>
    <t>CMO</t>
  </si>
  <si>
    <t>CMS</t>
  </si>
  <si>
    <t>FAV</t>
  </si>
  <si>
    <t>FNC</t>
  </si>
  <si>
    <t>RN_Count</t>
  </si>
  <si>
    <t>StaffID</t>
  </si>
  <si>
    <t>MD_Count</t>
  </si>
  <si>
    <t>RN_ContinuityWeight</t>
  </si>
  <si>
    <t>MD_ContinuityWeight</t>
  </si>
  <si>
    <t>Nurse 1</t>
  </si>
  <si>
    <t>Nurse 10</t>
  </si>
  <si>
    <t>Nurse 11</t>
  </si>
  <si>
    <t>Nurse 12</t>
  </si>
  <si>
    <t>Nurse 13</t>
  </si>
  <si>
    <t>Albuquerque</t>
  </si>
  <si>
    <t>ALN</t>
  </si>
  <si>
    <t>ALN-Upstate New York</t>
  </si>
  <si>
    <t>AMA</t>
  </si>
  <si>
    <t>Amarillo</t>
  </si>
  <si>
    <t>ANN</t>
  </si>
  <si>
    <t>Ann Arbor</t>
  </si>
  <si>
    <t>ASH</t>
  </si>
  <si>
    <t>Asheville</t>
  </si>
  <si>
    <t>ATG</t>
  </si>
  <si>
    <t>Atlanta</t>
  </si>
  <si>
    <t>AUG</t>
  </si>
  <si>
    <t>Augusta</t>
  </si>
  <si>
    <t>BAL</t>
  </si>
  <si>
    <t>Baltimore</t>
  </si>
  <si>
    <t>BAY</t>
  </si>
  <si>
    <t>Bay Pines</t>
  </si>
  <si>
    <t>BEC</t>
  </si>
  <si>
    <t>Beckley</t>
  </si>
  <si>
    <t>BHH</t>
  </si>
  <si>
    <t>Black Hills</t>
  </si>
  <si>
    <t>BIL</t>
  </si>
  <si>
    <t>Biloxi</t>
  </si>
  <si>
    <t>BIR</t>
  </si>
  <si>
    <t>Birmingham</t>
  </si>
  <si>
    <t>BOI</t>
  </si>
  <si>
    <t>Boise</t>
  </si>
  <si>
    <t>BRX</t>
  </si>
  <si>
    <t>Bronx</t>
  </si>
  <si>
    <t>BUF</t>
  </si>
  <si>
    <t>BUF-Upstate New York</t>
  </si>
  <si>
    <t>BYN</t>
  </si>
  <si>
    <t>BYN-New York Harbor</t>
  </si>
  <si>
    <t>CAV</t>
  </si>
  <si>
    <t>Central Alabama</t>
  </si>
  <si>
    <t>CHY</t>
  </si>
  <si>
    <t>Cheyenne</t>
  </si>
  <si>
    <t>CIN</t>
  </si>
  <si>
    <t>Cincinnati</t>
  </si>
  <si>
    <t>CLA</t>
  </si>
  <si>
    <t>Clarksburg</t>
  </si>
  <si>
    <t>CLE</t>
  </si>
  <si>
    <t>Cleveland</t>
  </si>
  <si>
    <t>Columbia, MO</t>
  </si>
  <si>
    <t>Columbia, SC</t>
  </si>
  <si>
    <t>CON</t>
  </si>
  <si>
    <t>Connecticut</t>
  </si>
  <si>
    <t>CTX</t>
  </si>
  <si>
    <t>Temple (Central Texas)</t>
  </si>
  <si>
    <t>DAY</t>
  </si>
  <si>
    <t>Dayton</t>
  </si>
  <si>
    <t>DEN</t>
  </si>
  <si>
    <t>Denver</t>
  </si>
  <si>
    <t>DES</t>
  </si>
  <si>
    <t>Des Moines</t>
  </si>
  <si>
    <t>DET</t>
  </si>
  <si>
    <t>Detroit</t>
  </si>
  <si>
    <t>Nellis AFB</t>
  </si>
  <si>
    <t>FAR</t>
  </si>
  <si>
    <t>Fargo</t>
  </si>
  <si>
    <t>Fayetteville, AR</t>
  </si>
  <si>
    <t>FHM</t>
  </si>
  <si>
    <t>Fort Harrison</t>
  </si>
  <si>
    <t>Fayetteville, NC</t>
  </si>
  <si>
    <t>FRE</t>
  </si>
  <si>
    <t>Fresno</t>
  </si>
  <si>
    <t>GLA</t>
  </si>
  <si>
    <t>West Los Angeles</t>
  </si>
  <si>
    <t>GRJ</t>
  </si>
  <si>
    <t>Grand Junction</t>
  </si>
  <si>
    <t>HAM</t>
  </si>
  <si>
    <t>Hampton</t>
  </si>
  <si>
    <t>HOU</t>
  </si>
  <si>
    <t>Houston</t>
  </si>
  <si>
    <t>HUN</t>
  </si>
  <si>
    <t>Huntington</t>
  </si>
  <si>
    <t>IND</t>
  </si>
  <si>
    <t>Indianapolis</t>
  </si>
  <si>
    <t>IOW</t>
  </si>
  <si>
    <t>Iowa City</t>
  </si>
  <si>
    <t>JAC</t>
  </si>
  <si>
    <t>Jackson</t>
  </si>
  <si>
    <t>KAN</t>
  </si>
  <si>
    <t>Kansas City</t>
  </si>
  <si>
    <t>LAS</t>
  </si>
  <si>
    <t>Las Vegas</t>
  </si>
  <si>
    <t>LEA</t>
  </si>
  <si>
    <t>Leavenworth</t>
  </si>
  <si>
    <t>LEB</t>
  </si>
  <si>
    <t>Lebanon</t>
  </si>
  <si>
    <t>LIT</t>
  </si>
  <si>
    <t>Little Rock</t>
  </si>
  <si>
    <t>LKC</t>
  </si>
  <si>
    <t>North Florida/South Georgia</t>
  </si>
  <si>
    <t>LOM</t>
  </si>
  <si>
    <t>Loma Linda</t>
  </si>
  <si>
    <t>MAC</t>
  </si>
  <si>
    <t>Sacramento</t>
  </si>
  <si>
    <t>MAR</t>
  </si>
  <si>
    <t>Marion</t>
  </si>
  <si>
    <t>MEM</t>
  </si>
  <si>
    <t>Memphis</t>
  </si>
  <si>
    <t>MIN</t>
  </si>
  <si>
    <t>Minneapolis</t>
  </si>
  <si>
    <t>MOU</t>
  </si>
  <si>
    <t>Mountain Home</t>
  </si>
  <si>
    <t>MUS</t>
  </si>
  <si>
    <t>Muskogee</t>
  </si>
  <si>
    <t>MWV</t>
  </si>
  <si>
    <t>Martinsburg</t>
  </si>
  <si>
    <t>NIN</t>
  </si>
  <si>
    <t>Northern Indiana</t>
  </si>
  <si>
    <t>NJH</t>
  </si>
  <si>
    <t>New Jersey</t>
  </si>
  <si>
    <t>NOL</t>
  </si>
  <si>
    <t>New Orleans</t>
  </si>
  <si>
    <t>NOP</t>
  </si>
  <si>
    <t>Northport</t>
  </si>
  <si>
    <t>NYN</t>
  </si>
  <si>
    <t>NYN-New York Harbor</t>
  </si>
  <si>
    <t>OKL</t>
  </si>
  <si>
    <t>Oklahoma City</t>
  </si>
  <si>
    <t>OMA</t>
  </si>
  <si>
    <t>Omaha</t>
  </si>
  <si>
    <t>ORL</t>
  </si>
  <si>
    <t>Orlando</t>
  </si>
  <si>
    <t>PAL</t>
  </si>
  <si>
    <t>Palo Alto</t>
  </si>
  <si>
    <t>PHO</t>
  </si>
  <si>
    <t>Phoenix</t>
  </si>
  <si>
    <t>REN</t>
  </si>
  <si>
    <t>Reno</t>
  </si>
  <si>
    <t>RIC</t>
  </si>
  <si>
    <t>Richmond</t>
  </si>
  <si>
    <t>SAJ</t>
  </si>
  <si>
    <t>San Juan</t>
  </si>
  <si>
    <t>SBY</t>
  </si>
  <si>
    <t>Salisbury</t>
  </si>
  <si>
    <t>SHR</t>
  </si>
  <si>
    <t>Shreveport</t>
  </si>
  <si>
    <t>STL</t>
  </si>
  <si>
    <t>St. Louis</t>
  </si>
  <si>
    <t>SUX</t>
  </si>
  <si>
    <t>Sioux Falls</t>
  </si>
  <si>
    <t>SYR</t>
  </si>
  <si>
    <t>SYR-Upstate New York</t>
  </si>
  <si>
    <t>TOG</t>
  </si>
  <si>
    <t>Togus</t>
  </si>
  <si>
    <t>TOP</t>
  </si>
  <si>
    <t>Topeka</t>
  </si>
  <si>
    <t>TUC</t>
  </si>
  <si>
    <t>Tucson</t>
  </si>
  <si>
    <t>WAS</t>
  </si>
  <si>
    <t>Washington DC</t>
  </si>
  <si>
    <t>WBP</t>
  </si>
  <si>
    <t>Wilkes-Barre</t>
  </si>
  <si>
    <t>WIC</t>
  </si>
  <si>
    <t>Wichita</t>
  </si>
  <si>
    <t>WIM</t>
  </si>
  <si>
    <t>Wilmington</t>
  </si>
  <si>
    <t>WRJ</t>
  </si>
  <si>
    <t>White River Junction</t>
  </si>
  <si>
    <t>Nurse 14</t>
  </si>
  <si>
    <t>Nurse 15</t>
  </si>
  <si>
    <t>Nurse 2</t>
  </si>
  <si>
    <t>Nurse 3</t>
  </si>
  <si>
    <t>Nurse 4</t>
  </si>
  <si>
    <t>Nurse 5</t>
  </si>
  <si>
    <t>Nurse 6</t>
  </si>
  <si>
    <t>Nurse 7</t>
  </si>
  <si>
    <t>Nurse 8</t>
  </si>
  <si>
    <t>Nurse 9</t>
  </si>
  <si>
    <t>MD Team 1</t>
  </si>
  <si>
    <t>MD Team 2</t>
  </si>
  <si>
    <t>MD Team 3</t>
  </si>
  <si>
    <t>MD Team 4</t>
  </si>
  <si>
    <t>MD Team 5</t>
  </si>
  <si>
    <t>RN Summary Table</t>
  </si>
  <si>
    <t>MD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</si>
</sst>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2" fillId="0" borderId="0" xfId="0" applyFont="1"/>
    <xf numFmtId="0" fontId="1" fillId="2" borderId="0" xfId="0" quotePrefix="1" applyFont="1" applyFill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3/09/relationships/Python" Target="pyth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19</xdr:col>
      <xdr:colOff>209550</xdr:colOff>
      <xdr:row>45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3C944B-57B8-1AEC-9243-BD249CBA6142}"/>
            </a:ext>
          </a:extLst>
        </xdr:cNvPr>
        <xdr:cNvSpPr txBox="1"/>
      </xdr:nvSpPr>
      <xdr:spPr>
        <a:xfrm>
          <a:off x="19050" y="19050"/>
          <a:ext cx="11772900" cy="861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EC8CD-E81C-40B5-8361-2F20B0076972}" name="CensusTable" displayName="CensusTable" ref="A1:D86" totalsRowShown="0">
  <autoFilter ref="A1:D86" xr:uid="{E41EC8CD-E81C-40B5-8361-2F20B0076972}"/>
  <tableColumns count="4">
    <tableColumn id="1" xr3:uid="{F5479581-D2E3-401B-8D7E-58DFAC76AC21}" name="SiteCode"/>
    <tableColumn id="2" xr3:uid="{C15872F2-EFB2-4C98-A496-8D3315AF8226}" name="FacilityName"/>
    <tableColumn id="3" xr3:uid="{66E1923E-5DBF-4C8F-A6A3-E2086F525A64}" name="TotalCensus" dataDxfId="1"/>
    <tableColumn id="4" xr3:uid="{4CA025FD-40AA-46E1-8FCD-25D50EACBF9E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79037B-42D2-45F9-BBD7-8A00BB937C4A}" name="RN_Previous" displayName="RN_Previous" ref="A3:B87" totalsRowShown="0">
  <autoFilter ref="A3:B87" xr:uid="{5279037B-42D2-45F9-BBD7-8A00BB937C4A}"/>
  <tableColumns count="2">
    <tableColumn id="1" xr3:uid="{2DAFB232-EA3E-456C-920F-0516400B7373}" name="StaffID"/>
    <tableColumn id="2" xr3:uid="{F27FA6CD-2A81-40AD-814C-8B039840A5A4}" name="SiteCod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AA6498-D15D-4758-8EDA-2ADFB6210F49}" name="MD_Previous" displayName="MD_Previous" ref="A3:B88" totalsRowShown="0">
  <autoFilter ref="A3:B88" xr:uid="{7BAA6498-D15D-4758-8EDA-2ADFB6210F49}"/>
  <tableColumns count="2">
    <tableColumn id="1" xr3:uid="{2A0DE87C-72D9-4DAF-AA43-B352BA4977BA}" name="StaffID"/>
    <tableColumn id="2" xr3:uid="{9D643AA6-5EE4-4724-9A23-DF66C604C82D}" name="Site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3C1E-3E53-4ADE-AF7B-EEC6E3083810}">
  <dimension ref="A1:D86"/>
  <sheetViews>
    <sheetView zoomScale="160" zoomScaleNormal="160" workbookViewId="0"/>
  </sheetViews>
  <sheetFormatPr defaultRowHeight="15" x14ac:dyDescent="0.25"/>
  <cols>
    <col min="1" max="1" width="11.28515625" customWidth="1"/>
    <col min="2" max="2" width="16" customWidth="1"/>
    <col min="3" max="3" width="13.140625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22</v>
      </c>
      <c r="C2">
        <v>6</v>
      </c>
      <c r="D2">
        <v>3</v>
      </c>
    </row>
    <row r="3" spans="1:4" x14ac:dyDescent="0.25">
      <c r="A3" t="s">
        <v>23</v>
      </c>
      <c r="B3" t="s">
        <v>24</v>
      </c>
      <c r="C3">
        <v>4</v>
      </c>
      <c r="D3">
        <v>3</v>
      </c>
    </row>
    <row r="4" spans="1:4" x14ac:dyDescent="0.25">
      <c r="A4" t="s">
        <v>25</v>
      </c>
      <c r="B4" t="s">
        <v>26</v>
      </c>
      <c r="C4">
        <v>7</v>
      </c>
      <c r="D4">
        <v>3</v>
      </c>
    </row>
    <row r="5" spans="1:4" x14ac:dyDescent="0.25">
      <c r="A5" t="s">
        <v>27</v>
      </c>
      <c r="B5" t="s">
        <v>28</v>
      </c>
      <c r="C5">
        <v>9</v>
      </c>
      <c r="D5">
        <v>3</v>
      </c>
    </row>
    <row r="6" spans="1:4" x14ac:dyDescent="0.25">
      <c r="A6" t="s">
        <v>29</v>
      </c>
      <c r="B6" t="s">
        <v>30</v>
      </c>
      <c r="C6">
        <v>9</v>
      </c>
      <c r="D6">
        <v>3</v>
      </c>
    </row>
    <row r="7" spans="1:4" x14ac:dyDescent="0.25">
      <c r="A7" t="s">
        <v>31</v>
      </c>
      <c r="B7" t="s">
        <v>32</v>
      </c>
      <c r="C7">
        <v>7</v>
      </c>
      <c r="D7">
        <v>3</v>
      </c>
    </row>
    <row r="8" spans="1:4" x14ac:dyDescent="0.25">
      <c r="A8" t="s">
        <v>33</v>
      </c>
      <c r="B8" t="s">
        <v>34</v>
      </c>
      <c r="C8">
        <v>3</v>
      </c>
      <c r="D8">
        <v>3</v>
      </c>
    </row>
    <row r="9" spans="1:4" x14ac:dyDescent="0.25">
      <c r="A9" t="s">
        <v>35</v>
      </c>
      <c r="B9" t="s">
        <v>36</v>
      </c>
      <c r="C9">
        <v>13</v>
      </c>
      <c r="D9">
        <v>3</v>
      </c>
    </row>
    <row r="10" spans="1:4" x14ac:dyDescent="0.25">
      <c r="A10" t="s">
        <v>37</v>
      </c>
      <c r="B10" t="s">
        <v>38</v>
      </c>
      <c r="C10">
        <v>16</v>
      </c>
      <c r="D10">
        <v>3</v>
      </c>
    </row>
    <row r="11" spans="1:4" x14ac:dyDescent="0.25">
      <c r="A11" t="s">
        <v>39</v>
      </c>
      <c r="B11" t="s">
        <v>40</v>
      </c>
      <c r="C11">
        <v>2</v>
      </c>
      <c r="D11">
        <v>1</v>
      </c>
    </row>
    <row r="12" spans="1:4" x14ac:dyDescent="0.25">
      <c r="A12" t="s">
        <v>41</v>
      </c>
      <c r="B12" t="s">
        <v>42</v>
      </c>
      <c r="C12">
        <v>1</v>
      </c>
      <c r="D12">
        <v>1</v>
      </c>
    </row>
    <row r="13" spans="1:4" x14ac:dyDescent="0.25">
      <c r="A13" t="s">
        <v>43</v>
      </c>
      <c r="B13" t="s">
        <v>44</v>
      </c>
      <c r="C13">
        <v>4</v>
      </c>
      <c r="D13">
        <v>2</v>
      </c>
    </row>
    <row r="14" spans="1:4" x14ac:dyDescent="0.25">
      <c r="A14" t="s">
        <v>45</v>
      </c>
      <c r="B14" t="s">
        <v>46</v>
      </c>
      <c r="C14">
        <v>13</v>
      </c>
      <c r="D14">
        <v>3</v>
      </c>
    </row>
    <row r="15" spans="1:4" x14ac:dyDescent="0.25">
      <c r="A15" t="s">
        <v>47</v>
      </c>
      <c r="B15" t="s">
        <v>48</v>
      </c>
      <c r="C15">
        <v>5</v>
      </c>
      <c r="D15">
        <v>3</v>
      </c>
    </row>
    <row r="16" spans="1:4" x14ac:dyDescent="0.25">
      <c r="A16" t="s">
        <v>49</v>
      </c>
      <c r="B16" t="s">
        <v>50</v>
      </c>
      <c r="C16">
        <v>10</v>
      </c>
      <c r="D16">
        <v>4</v>
      </c>
    </row>
    <row r="17" spans="1:4" x14ac:dyDescent="0.25">
      <c r="A17" t="s">
        <v>51</v>
      </c>
      <c r="B17" t="s">
        <v>52</v>
      </c>
      <c r="C17">
        <v>11</v>
      </c>
      <c r="D17">
        <v>3</v>
      </c>
    </row>
    <row r="18" spans="1:4" x14ac:dyDescent="0.25">
      <c r="A18" t="s">
        <v>53</v>
      </c>
      <c r="B18" t="s">
        <v>54</v>
      </c>
      <c r="C18">
        <v>6</v>
      </c>
      <c r="D18">
        <v>3</v>
      </c>
    </row>
    <row r="19" spans="1:4" x14ac:dyDescent="0.25">
      <c r="A19" t="s">
        <v>55</v>
      </c>
      <c r="B19" t="s">
        <v>56</v>
      </c>
      <c r="C19">
        <v>3</v>
      </c>
      <c r="D19">
        <v>1</v>
      </c>
    </row>
    <row r="20" spans="1:4" x14ac:dyDescent="0.25">
      <c r="A20" t="s">
        <v>57</v>
      </c>
      <c r="B20" t="s">
        <v>58</v>
      </c>
      <c r="C20">
        <v>4</v>
      </c>
      <c r="D20">
        <v>1</v>
      </c>
    </row>
    <row r="21" spans="1:4" x14ac:dyDescent="0.25">
      <c r="A21" t="s">
        <v>59</v>
      </c>
      <c r="B21" t="s">
        <v>60</v>
      </c>
      <c r="C21">
        <v>10</v>
      </c>
      <c r="D21">
        <v>3</v>
      </c>
    </row>
    <row r="22" spans="1:4" x14ac:dyDescent="0.25">
      <c r="A22" t="s">
        <v>61</v>
      </c>
      <c r="B22" t="s">
        <v>62</v>
      </c>
      <c r="C22">
        <v>10</v>
      </c>
      <c r="D22">
        <v>2</v>
      </c>
    </row>
    <row r="23" spans="1:4" x14ac:dyDescent="0.25">
      <c r="A23" t="s">
        <v>63</v>
      </c>
      <c r="B23" t="s">
        <v>64</v>
      </c>
      <c r="C23">
        <v>14</v>
      </c>
      <c r="D23">
        <v>3</v>
      </c>
    </row>
    <row r="24" spans="1:4" x14ac:dyDescent="0.25">
      <c r="A24" t="s">
        <v>8</v>
      </c>
      <c r="B24" t="s">
        <v>65</v>
      </c>
      <c r="C24">
        <v>9</v>
      </c>
      <c r="D24">
        <v>3</v>
      </c>
    </row>
    <row r="25" spans="1:4" x14ac:dyDescent="0.25">
      <c r="A25" t="s">
        <v>9</v>
      </c>
      <c r="B25" t="s">
        <v>66</v>
      </c>
      <c r="C25">
        <v>7</v>
      </c>
      <c r="D25">
        <v>4</v>
      </c>
    </row>
    <row r="26" spans="1:4" x14ac:dyDescent="0.25">
      <c r="A26" t="s">
        <v>67</v>
      </c>
      <c r="B26" t="s">
        <v>68</v>
      </c>
      <c r="C26">
        <v>6</v>
      </c>
      <c r="D26">
        <v>3</v>
      </c>
    </row>
    <row r="27" spans="1:4" x14ac:dyDescent="0.25">
      <c r="A27" t="s">
        <v>69</v>
      </c>
      <c r="B27" t="s">
        <v>70</v>
      </c>
      <c r="C27">
        <v>1</v>
      </c>
      <c r="D27">
        <v>3</v>
      </c>
    </row>
    <row r="28" spans="1:4" x14ac:dyDescent="0.25">
      <c r="A28" t="s">
        <v>71</v>
      </c>
      <c r="B28" t="s">
        <v>72</v>
      </c>
      <c r="C28">
        <v>5</v>
      </c>
      <c r="D28">
        <v>3</v>
      </c>
    </row>
    <row r="29" spans="1:4" x14ac:dyDescent="0.25">
      <c r="A29" t="s">
        <v>73</v>
      </c>
      <c r="B29" t="s">
        <v>74</v>
      </c>
      <c r="C29">
        <v>6</v>
      </c>
      <c r="D29">
        <v>3</v>
      </c>
    </row>
    <row r="30" spans="1:4" x14ac:dyDescent="0.25">
      <c r="A30" t="s">
        <v>75</v>
      </c>
      <c r="B30" t="s">
        <v>76</v>
      </c>
      <c r="C30">
        <v>3</v>
      </c>
      <c r="D30">
        <v>1</v>
      </c>
    </row>
    <row r="31" spans="1:4" x14ac:dyDescent="0.25">
      <c r="A31" t="s">
        <v>77</v>
      </c>
      <c r="B31" t="s">
        <v>78</v>
      </c>
      <c r="C31">
        <v>9</v>
      </c>
      <c r="D31">
        <v>4</v>
      </c>
    </row>
    <row r="32" spans="1:4" x14ac:dyDescent="0.25">
      <c r="A32" t="s">
        <v>7</v>
      </c>
      <c r="B32" t="s">
        <v>79</v>
      </c>
      <c r="C32">
        <v>2</v>
      </c>
      <c r="D32">
        <v>3</v>
      </c>
    </row>
    <row r="33" spans="1:4" x14ac:dyDescent="0.25">
      <c r="A33" t="s">
        <v>80</v>
      </c>
      <c r="B33" t="s">
        <v>81</v>
      </c>
      <c r="C33">
        <v>0</v>
      </c>
      <c r="D33">
        <v>1</v>
      </c>
    </row>
    <row r="34" spans="1:4" x14ac:dyDescent="0.25">
      <c r="A34" t="s">
        <v>10</v>
      </c>
      <c r="B34" t="s">
        <v>82</v>
      </c>
      <c r="C34">
        <v>4</v>
      </c>
      <c r="D34">
        <v>1</v>
      </c>
    </row>
    <row r="35" spans="1:4" x14ac:dyDescent="0.25">
      <c r="A35" t="s">
        <v>83</v>
      </c>
      <c r="B35" t="s">
        <v>84</v>
      </c>
      <c r="C35">
        <v>2</v>
      </c>
      <c r="D35">
        <v>1</v>
      </c>
    </row>
    <row r="36" spans="1:4" x14ac:dyDescent="0.25">
      <c r="A36" t="s">
        <v>11</v>
      </c>
      <c r="B36" t="s">
        <v>85</v>
      </c>
      <c r="C36">
        <v>2</v>
      </c>
      <c r="D36">
        <v>3</v>
      </c>
    </row>
    <row r="37" spans="1:4" x14ac:dyDescent="0.25">
      <c r="A37" t="s">
        <v>86</v>
      </c>
      <c r="B37" t="s">
        <v>87</v>
      </c>
      <c r="C37">
        <v>13</v>
      </c>
      <c r="D37">
        <v>3</v>
      </c>
    </row>
    <row r="38" spans="1:4" x14ac:dyDescent="0.25">
      <c r="A38" t="s">
        <v>88</v>
      </c>
      <c r="B38" t="s">
        <v>89</v>
      </c>
      <c r="C38">
        <v>29</v>
      </c>
      <c r="D38">
        <v>3</v>
      </c>
    </row>
    <row r="39" spans="1:4" x14ac:dyDescent="0.25">
      <c r="A39" t="s">
        <v>90</v>
      </c>
      <c r="B39" t="s">
        <v>91</v>
      </c>
      <c r="C39">
        <v>3</v>
      </c>
      <c r="D39">
        <v>2</v>
      </c>
    </row>
    <row r="40" spans="1:4" x14ac:dyDescent="0.25">
      <c r="A40" t="s">
        <v>92</v>
      </c>
      <c r="B40" t="s">
        <v>93</v>
      </c>
      <c r="C40">
        <v>0</v>
      </c>
      <c r="D40">
        <v>1</v>
      </c>
    </row>
    <row r="41" spans="1:4" x14ac:dyDescent="0.25">
      <c r="A41" t="s">
        <v>94</v>
      </c>
      <c r="B41" t="s">
        <v>95</v>
      </c>
      <c r="C41">
        <v>30</v>
      </c>
      <c r="D41">
        <v>3</v>
      </c>
    </row>
    <row r="42" spans="1:4" x14ac:dyDescent="0.25">
      <c r="A42" t="s">
        <v>96</v>
      </c>
      <c r="B42" t="s">
        <v>97</v>
      </c>
      <c r="C42">
        <v>2</v>
      </c>
      <c r="D42">
        <v>3</v>
      </c>
    </row>
    <row r="43" spans="1:4" x14ac:dyDescent="0.25">
      <c r="A43" t="s">
        <v>98</v>
      </c>
      <c r="B43" t="s">
        <v>99</v>
      </c>
      <c r="C43">
        <v>12</v>
      </c>
      <c r="D43">
        <v>3</v>
      </c>
    </row>
    <row r="44" spans="1:4" x14ac:dyDescent="0.25">
      <c r="A44" t="s">
        <v>100</v>
      </c>
      <c r="B44" t="s">
        <v>101</v>
      </c>
      <c r="C44">
        <v>8</v>
      </c>
      <c r="D44">
        <v>3</v>
      </c>
    </row>
    <row r="45" spans="1:4" x14ac:dyDescent="0.25">
      <c r="A45" t="s">
        <v>102</v>
      </c>
      <c r="B45" t="s">
        <v>103</v>
      </c>
      <c r="C45">
        <v>2</v>
      </c>
      <c r="D45">
        <v>3</v>
      </c>
    </row>
    <row r="46" spans="1:4" x14ac:dyDescent="0.25">
      <c r="A46" t="s">
        <v>104</v>
      </c>
      <c r="B46" t="s">
        <v>105</v>
      </c>
      <c r="C46">
        <v>16</v>
      </c>
      <c r="D46">
        <v>3</v>
      </c>
    </row>
    <row r="47" spans="1:4" x14ac:dyDescent="0.25">
      <c r="A47" t="s">
        <v>106</v>
      </c>
      <c r="B47" t="s">
        <v>107</v>
      </c>
      <c r="C47">
        <v>11</v>
      </c>
      <c r="D47">
        <v>3</v>
      </c>
    </row>
    <row r="48" spans="1:4" x14ac:dyDescent="0.25">
      <c r="A48" t="s">
        <v>108</v>
      </c>
      <c r="B48" t="s">
        <v>109</v>
      </c>
      <c r="C48">
        <v>4</v>
      </c>
      <c r="D48">
        <v>1</v>
      </c>
    </row>
    <row r="49" spans="1:4" x14ac:dyDescent="0.25">
      <c r="A49" t="s">
        <v>110</v>
      </c>
      <c r="B49" t="s">
        <v>111</v>
      </c>
      <c r="C49">
        <v>7</v>
      </c>
      <c r="D49">
        <v>3</v>
      </c>
    </row>
    <row r="50" spans="1:4" x14ac:dyDescent="0.25">
      <c r="A50" t="s">
        <v>112</v>
      </c>
      <c r="B50" t="s">
        <v>113</v>
      </c>
      <c r="C50">
        <v>30</v>
      </c>
      <c r="D50">
        <v>3</v>
      </c>
    </row>
    <row r="51" spans="1:4" x14ac:dyDescent="0.25">
      <c r="A51" t="s">
        <v>114</v>
      </c>
      <c r="B51" t="s">
        <v>115</v>
      </c>
      <c r="C51">
        <v>6</v>
      </c>
      <c r="D51">
        <v>1</v>
      </c>
    </row>
    <row r="52" spans="1:4" x14ac:dyDescent="0.25">
      <c r="A52" t="s">
        <v>116</v>
      </c>
      <c r="B52" t="s">
        <v>117</v>
      </c>
      <c r="C52">
        <v>16</v>
      </c>
      <c r="D52">
        <v>3</v>
      </c>
    </row>
    <row r="53" spans="1:4" x14ac:dyDescent="0.25">
      <c r="A53" t="s">
        <v>118</v>
      </c>
      <c r="B53" t="s">
        <v>119</v>
      </c>
      <c r="C53">
        <v>9</v>
      </c>
      <c r="D53">
        <v>3</v>
      </c>
    </row>
    <row r="54" spans="1:4" x14ac:dyDescent="0.25">
      <c r="A54" t="s">
        <v>120</v>
      </c>
      <c r="B54" t="s">
        <v>121</v>
      </c>
      <c r="C54">
        <v>0</v>
      </c>
      <c r="D54">
        <v>1</v>
      </c>
    </row>
    <row r="55" spans="1:4" x14ac:dyDescent="0.25">
      <c r="A55" t="s">
        <v>122</v>
      </c>
      <c r="B55" t="s">
        <v>123</v>
      </c>
      <c r="C55">
        <v>12</v>
      </c>
      <c r="D55">
        <v>3</v>
      </c>
    </row>
    <row r="56" spans="1:4" x14ac:dyDescent="0.25">
      <c r="A56" t="s">
        <v>124</v>
      </c>
      <c r="B56" t="s">
        <v>125</v>
      </c>
      <c r="C56">
        <v>9</v>
      </c>
      <c r="D56">
        <v>3</v>
      </c>
    </row>
    <row r="57" spans="1:4" x14ac:dyDescent="0.25">
      <c r="A57" t="s">
        <v>126</v>
      </c>
      <c r="B57" t="s">
        <v>127</v>
      </c>
      <c r="C57">
        <v>9</v>
      </c>
      <c r="D57">
        <v>3</v>
      </c>
    </row>
    <row r="58" spans="1:4" x14ac:dyDescent="0.25">
      <c r="A58" t="s">
        <v>128</v>
      </c>
      <c r="B58" t="s">
        <v>129</v>
      </c>
      <c r="C58">
        <v>4</v>
      </c>
      <c r="D58">
        <v>1</v>
      </c>
    </row>
    <row r="59" spans="1:4" x14ac:dyDescent="0.25">
      <c r="A59" t="s">
        <v>130</v>
      </c>
      <c r="B59" t="s">
        <v>131</v>
      </c>
      <c r="C59">
        <v>3</v>
      </c>
      <c r="D59">
        <v>4</v>
      </c>
    </row>
    <row r="60" spans="1:4" x14ac:dyDescent="0.25">
      <c r="A60" t="s">
        <v>132</v>
      </c>
      <c r="B60" t="s">
        <v>133</v>
      </c>
      <c r="C60">
        <v>0</v>
      </c>
      <c r="D60">
        <v>3</v>
      </c>
    </row>
    <row r="61" spans="1:4" x14ac:dyDescent="0.25">
      <c r="A61" t="s">
        <v>134</v>
      </c>
      <c r="B61" t="s">
        <v>135</v>
      </c>
      <c r="C61">
        <v>6</v>
      </c>
      <c r="D61">
        <v>3</v>
      </c>
    </row>
    <row r="62" spans="1:4" x14ac:dyDescent="0.25">
      <c r="A62" t="s">
        <v>136</v>
      </c>
      <c r="B62" t="s">
        <v>137</v>
      </c>
      <c r="C62">
        <v>6</v>
      </c>
      <c r="D62">
        <v>3</v>
      </c>
    </row>
    <row r="63" spans="1:4" x14ac:dyDescent="0.25">
      <c r="A63" t="s">
        <v>138</v>
      </c>
      <c r="B63" t="s">
        <v>139</v>
      </c>
      <c r="C63">
        <v>4</v>
      </c>
      <c r="D63">
        <v>3</v>
      </c>
    </row>
    <row r="64" spans="1:4" x14ac:dyDescent="0.25">
      <c r="A64" t="s">
        <v>140</v>
      </c>
      <c r="B64" t="s">
        <v>141</v>
      </c>
      <c r="C64">
        <v>16</v>
      </c>
      <c r="D64">
        <v>3</v>
      </c>
    </row>
    <row r="65" spans="1:4" x14ac:dyDescent="0.25">
      <c r="A65" t="s">
        <v>142</v>
      </c>
      <c r="B65" t="s">
        <v>143</v>
      </c>
      <c r="C65">
        <v>12</v>
      </c>
      <c r="D65">
        <v>3</v>
      </c>
    </row>
    <row r="66" spans="1:4" x14ac:dyDescent="0.25">
      <c r="A66" t="s">
        <v>144</v>
      </c>
      <c r="B66" t="s">
        <v>145</v>
      </c>
      <c r="C66">
        <v>9</v>
      </c>
      <c r="D66">
        <v>3</v>
      </c>
    </row>
    <row r="67" spans="1:4" x14ac:dyDescent="0.25">
      <c r="A67" t="s">
        <v>146</v>
      </c>
      <c r="B67" t="s">
        <v>147</v>
      </c>
      <c r="C67">
        <v>11</v>
      </c>
      <c r="D67">
        <v>3</v>
      </c>
    </row>
    <row r="68" spans="1:4" x14ac:dyDescent="0.25">
      <c r="A68" t="s">
        <v>148</v>
      </c>
      <c r="B68" t="s">
        <v>149</v>
      </c>
      <c r="C68">
        <v>15</v>
      </c>
      <c r="D68">
        <v>3</v>
      </c>
    </row>
    <row r="69" spans="1:4" x14ac:dyDescent="0.25">
      <c r="A69" t="s">
        <v>150</v>
      </c>
      <c r="B69" t="s">
        <v>151</v>
      </c>
      <c r="C69">
        <v>8</v>
      </c>
      <c r="D69">
        <v>3</v>
      </c>
    </row>
    <row r="70" spans="1:4" x14ac:dyDescent="0.25">
      <c r="A70" t="s">
        <v>152</v>
      </c>
      <c r="B70" t="s">
        <v>153</v>
      </c>
      <c r="C70">
        <v>9</v>
      </c>
      <c r="D70">
        <v>3</v>
      </c>
    </row>
    <row r="71" spans="1:4" x14ac:dyDescent="0.25">
      <c r="A71" t="s">
        <v>154</v>
      </c>
      <c r="B71" t="s">
        <v>155</v>
      </c>
      <c r="C71">
        <v>14</v>
      </c>
      <c r="D71">
        <v>3</v>
      </c>
    </row>
    <row r="72" spans="1:4" x14ac:dyDescent="0.25">
      <c r="A72" t="s">
        <v>156</v>
      </c>
      <c r="B72" t="s">
        <v>157</v>
      </c>
      <c r="C72">
        <v>24</v>
      </c>
      <c r="D72">
        <v>3</v>
      </c>
    </row>
    <row r="73" spans="1:4" x14ac:dyDescent="0.25">
      <c r="A73" t="s">
        <v>158</v>
      </c>
      <c r="B73" t="s">
        <v>159</v>
      </c>
      <c r="C73">
        <v>3</v>
      </c>
      <c r="D73">
        <v>3</v>
      </c>
    </row>
    <row r="74" spans="1:4" x14ac:dyDescent="0.25">
      <c r="A74" t="s">
        <v>160</v>
      </c>
      <c r="B74" t="s">
        <v>161</v>
      </c>
      <c r="C74">
        <v>2</v>
      </c>
      <c r="D74">
        <v>3</v>
      </c>
    </row>
    <row r="75" spans="1:4" x14ac:dyDescent="0.25">
      <c r="A75" t="s">
        <v>5</v>
      </c>
      <c r="B75" t="s">
        <v>6</v>
      </c>
      <c r="C75">
        <v>2</v>
      </c>
      <c r="D75">
        <v>1</v>
      </c>
    </row>
    <row r="76" spans="1:4" x14ac:dyDescent="0.25">
      <c r="A76" t="s">
        <v>162</v>
      </c>
      <c r="B76" t="s">
        <v>163</v>
      </c>
      <c r="C76">
        <v>7</v>
      </c>
      <c r="D76">
        <v>3</v>
      </c>
    </row>
    <row r="77" spans="1:4" x14ac:dyDescent="0.25">
      <c r="A77" t="s">
        <v>164</v>
      </c>
      <c r="B77" t="s">
        <v>165</v>
      </c>
      <c r="C77">
        <v>2</v>
      </c>
      <c r="D77">
        <v>1</v>
      </c>
    </row>
    <row r="78" spans="1:4" x14ac:dyDescent="0.25">
      <c r="A78" t="s">
        <v>166</v>
      </c>
      <c r="B78" t="s">
        <v>167</v>
      </c>
      <c r="C78">
        <v>5</v>
      </c>
      <c r="D78">
        <v>3</v>
      </c>
    </row>
    <row r="79" spans="1:4" x14ac:dyDescent="0.25">
      <c r="A79" t="s">
        <v>168</v>
      </c>
      <c r="B79" t="s">
        <v>169</v>
      </c>
      <c r="C79">
        <v>4</v>
      </c>
      <c r="D79">
        <v>3</v>
      </c>
    </row>
    <row r="80" spans="1:4" x14ac:dyDescent="0.25">
      <c r="A80" t="s">
        <v>170</v>
      </c>
      <c r="B80" t="s">
        <v>171</v>
      </c>
      <c r="C80">
        <v>0</v>
      </c>
      <c r="D80">
        <v>1</v>
      </c>
    </row>
    <row r="81" spans="1:4" x14ac:dyDescent="0.25">
      <c r="A81" t="s">
        <v>172</v>
      </c>
      <c r="B81" t="s">
        <v>173</v>
      </c>
      <c r="C81">
        <v>13</v>
      </c>
      <c r="D81">
        <v>3</v>
      </c>
    </row>
    <row r="82" spans="1:4" x14ac:dyDescent="0.25">
      <c r="A82" t="s">
        <v>174</v>
      </c>
      <c r="B82" t="s">
        <v>175</v>
      </c>
      <c r="C82">
        <v>12</v>
      </c>
      <c r="D82">
        <v>3</v>
      </c>
    </row>
    <row r="83" spans="1:4" x14ac:dyDescent="0.25">
      <c r="A83" t="s">
        <v>176</v>
      </c>
      <c r="B83" t="s">
        <v>177</v>
      </c>
      <c r="C83">
        <v>14</v>
      </c>
      <c r="D83">
        <v>3</v>
      </c>
    </row>
    <row r="84" spans="1:4" x14ac:dyDescent="0.25">
      <c r="A84" t="s">
        <v>178</v>
      </c>
      <c r="B84" t="s">
        <v>179</v>
      </c>
      <c r="C84">
        <v>10</v>
      </c>
      <c r="D84">
        <v>3</v>
      </c>
    </row>
    <row r="85" spans="1:4" x14ac:dyDescent="0.25">
      <c r="A85" t="s">
        <v>180</v>
      </c>
      <c r="B85" t="s">
        <v>181</v>
      </c>
      <c r="C85">
        <v>1</v>
      </c>
      <c r="D85">
        <v>1</v>
      </c>
    </row>
    <row r="86" spans="1:4" x14ac:dyDescent="0.25">
      <c r="A86" t="s">
        <v>182</v>
      </c>
      <c r="B86" t="s">
        <v>183</v>
      </c>
      <c r="C86">
        <v>3</v>
      </c>
      <c r="D86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F6AF-252C-4352-A1A1-51B9B9C4C683}">
  <dimension ref="A1:B87"/>
  <sheetViews>
    <sheetView zoomScale="205" zoomScaleNormal="205" workbookViewId="0">
      <selection activeCell="B2" sqref="B2"/>
    </sheetView>
  </sheetViews>
  <sheetFormatPr defaultRowHeight="15" x14ac:dyDescent="0.25"/>
  <cols>
    <col min="1" max="1" width="25" customWidth="1"/>
    <col min="2" max="2" width="11.5703125" style="1" customWidth="1"/>
  </cols>
  <sheetData>
    <row r="1" spans="1:2" x14ac:dyDescent="0.25">
      <c r="A1" t="s">
        <v>12</v>
      </c>
      <c r="B1" s="1">
        <v>16</v>
      </c>
    </row>
    <row r="2" spans="1:2" x14ac:dyDescent="0.25">
      <c r="A2" t="s">
        <v>15</v>
      </c>
      <c r="B2" s="1">
        <v>5</v>
      </c>
    </row>
    <row r="3" spans="1:2" x14ac:dyDescent="0.25">
      <c r="A3" t="s">
        <v>13</v>
      </c>
      <c r="B3" s="1" t="s">
        <v>0</v>
      </c>
    </row>
    <row r="4" spans="1:2" x14ac:dyDescent="0.25">
      <c r="A4" t="s">
        <v>17</v>
      </c>
      <c r="B4" s="1" t="s">
        <v>31</v>
      </c>
    </row>
    <row r="5" spans="1:2" x14ac:dyDescent="0.25">
      <c r="A5" t="s">
        <v>17</v>
      </c>
      <c r="B5" s="1" t="s">
        <v>57</v>
      </c>
    </row>
    <row r="6" spans="1:2" x14ac:dyDescent="0.25">
      <c r="A6" t="s">
        <v>17</v>
      </c>
      <c r="B6" s="1" t="s">
        <v>112</v>
      </c>
    </row>
    <row r="7" spans="1:2" x14ac:dyDescent="0.25">
      <c r="A7" t="s">
        <v>17</v>
      </c>
      <c r="B7" s="1" t="s">
        <v>182</v>
      </c>
    </row>
    <row r="8" spans="1:2" x14ac:dyDescent="0.25">
      <c r="A8" t="s">
        <v>18</v>
      </c>
      <c r="B8" s="1" t="s">
        <v>25</v>
      </c>
    </row>
    <row r="9" spans="1:2" x14ac:dyDescent="0.25">
      <c r="A9" t="s">
        <v>18</v>
      </c>
      <c r="B9" s="1" t="s">
        <v>9</v>
      </c>
    </row>
    <row r="10" spans="1:2" x14ac:dyDescent="0.25">
      <c r="A10" t="s">
        <v>18</v>
      </c>
      <c r="B10" s="1" t="s">
        <v>11</v>
      </c>
    </row>
    <row r="11" spans="1:2" x14ac:dyDescent="0.25">
      <c r="A11" t="s">
        <v>18</v>
      </c>
      <c r="B11" s="1" t="s">
        <v>88</v>
      </c>
    </row>
    <row r="12" spans="1:2" x14ac:dyDescent="0.25">
      <c r="A12" t="s">
        <v>19</v>
      </c>
      <c r="B12" s="1" t="s">
        <v>7</v>
      </c>
    </row>
    <row r="13" spans="1:2" x14ac:dyDescent="0.25">
      <c r="A13" t="s">
        <v>19</v>
      </c>
      <c r="B13" s="1" t="s">
        <v>94</v>
      </c>
    </row>
    <row r="14" spans="1:2" x14ac:dyDescent="0.25">
      <c r="A14" t="s">
        <v>19</v>
      </c>
      <c r="B14" s="1" t="s">
        <v>110</v>
      </c>
    </row>
    <row r="15" spans="1:2" x14ac:dyDescent="0.25">
      <c r="A15" t="s">
        <v>19</v>
      </c>
      <c r="B15" s="1" t="s">
        <v>158</v>
      </c>
    </row>
    <row r="16" spans="1:2" x14ac:dyDescent="0.25">
      <c r="A16" t="s">
        <v>19</v>
      </c>
      <c r="B16" s="1" t="s">
        <v>5</v>
      </c>
    </row>
    <row r="17" spans="1:2" x14ac:dyDescent="0.25">
      <c r="A17" t="s">
        <v>20</v>
      </c>
      <c r="B17" s="1" t="s">
        <v>39</v>
      </c>
    </row>
    <row r="18" spans="1:2" x14ac:dyDescent="0.25">
      <c r="A18" t="s">
        <v>20</v>
      </c>
      <c r="B18" s="1" t="s">
        <v>96</v>
      </c>
    </row>
    <row r="19" spans="1:2" x14ac:dyDescent="0.25">
      <c r="A19" t="s">
        <v>20</v>
      </c>
      <c r="B19" s="1" t="s">
        <v>156</v>
      </c>
    </row>
    <row r="20" spans="1:2" x14ac:dyDescent="0.25">
      <c r="A20" t="s">
        <v>20</v>
      </c>
      <c r="B20" s="1" t="s">
        <v>162</v>
      </c>
    </row>
    <row r="21" spans="1:2" x14ac:dyDescent="0.25">
      <c r="A21" t="s">
        <v>20</v>
      </c>
      <c r="B21" s="1" t="s">
        <v>178</v>
      </c>
    </row>
    <row r="22" spans="1:2" x14ac:dyDescent="0.25">
      <c r="A22" t="s">
        <v>21</v>
      </c>
      <c r="B22" s="1" t="s">
        <v>37</v>
      </c>
    </row>
    <row r="23" spans="1:2" x14ac:dyDescent="0.25">
      <c r="A23" t="s">
        <v>21</v>
      </c>
      <c r="B23" s="1" t="s">
        <v>10</v>
      </c>
    </row>
    <row r="24" spans="1:2" x14ac:dyDescent="0.25">
      <c r="A24" t="s">
        <v>21</v>
      </c>
      <c r="B24" s="1" t="s">
        <v>134</v>
      </c>
    </row>
    <row r="25" spans="1:2" x14ac:dyDescent="0.25">
      <c r="A25" t="s">
        <v>21</v>
      </c>
      <c r="B25" s="1" t="s">
        <v>146</v>
      </c>
    </row>
    <row r="26" spans="1:2" x14ac:dyDescent="0.25">
      <c r="A26" t="s">
        <v>21</v>
      </c>
      <c r="B26" s="1" t="s">
        <v>150</v>
      </c>
    </row>
    <row r="27" spans="1:2" x14ac:dyDescent="0.25">
      <c r="A27" t="s">
        <v>184</v>
      </c>
      <c r="B27" s="1" t="s">
        <v>49</v>
      </c>
    </row>
    <row r="28" spans="1:2" x14ac:dyDescent="0.25">
      <c r="A28" t="s">
        <v>184</v>
      </c>
      <c r="B28" s="1" t="s">
        <v>77</v>
      </c>
    </row>
    <row r="29" spans="1:2" x14ac:dyDescent="0.25">
      <c r="A29" t="s">
        <v>184</v>
      </c>
      <c r="B29" s="1" t="s">
        <v>83</v>
      </c>
    </row>
    <row r="30" spans="1:2" x14ac:dyDescent="0.25">
      <c r="A30" t="s">
        <v>184</v>
      </c>
      <c r="B30" s="1" t="s">
        <v>102</v>
      </c>
    </row>
    <row r="31" spans="1:2" x14ac:dyDescent="0.25">
      <c r="A31" t="s">
        <v>184</v>
      </c>
      <c r="B31" s="1" t="s">
        <v>104</v>
      </c>
    </row>
    <row r="32" spans="1:2" x14ac:dyDescent="0.25">
      <c r="A32" t="s">
        <v>184</v>
      </c>
      <c r="B32" s="1" t="s">
        <v>136</v>
      </c>
    </row>
    <row r="33" spans="1:2" x14ac:dyDescent="0.25">
      <c r="A33" t="s">
        <v>185</v>
      </c>
      <c r="B33" s="1" t="s">
        <v>47</v>
      </c>
    </row>
    <row r="34" spans="1:2" x14ac:dyDescent="0.25">
      <c r="A34" t="s">
        <v>185</v>
      </c>
      <c r="B34" s="1" t="s">
        <v>59</v>
      </c>
    </row>
    <row r="35" spans="1:2" x14ac:dyDescent="0.25">
      <c r="A35" t="s">
        <v>185</v>
      </c>
      <c r="B35" s="1" t="s">
        <v>116</v>
      </c>
    </row>
    <row r="36" spans="1:2" x14ac:dyDescent="0.25">
      <c r="A36" t="s">
        <v>185</v>
      </c>
      <c r="B36" s="1" t="s">
        <v>118</v>
      </c>
    </row>
    <row r="37" spans="1:2" x14ac:dyDescent="0.25">
      <c r="A37" t="s">
        <v>185</v>
      </c>
      <c r="B37" s="1" t="s">
        <v>138</v>
      </c>
    </row>
    <row r="38" spans="1:2" x14ac:dyDescent="0.25">
      <c r="A38" t="s">
        <v>186</v>
      </c>
      <c r="B38" s="1" t="s">
        <v>61</v>
      </c>
    </row>
    <row r="39" spans="1:2" x14ac:dyDescent="0.25">
      <c r="A39" t="s">
        <v>186</v>
      </c>
      <c r="B39" s="1" t="s">
        <v>71</v>
      </c>
    </row>
    <row r="40" spans="1:2" x14ac:dyDescent="0.25">
      <c r="A40" t="s">
        <v>186</v>
      </c>
      <c r="B40" s="1" t="s">
        <v>124</v>
      </c>
    </row>
    <row r="41" spans="1:2" x14ac:dyDescent="0.25">
      <c r="A41" t="s">
        <v>186</v>
      </c>
      <c r="B41" s="1" t="s">
        <v>140</v>
      </c>
    </row>
    <row r="42" spans="1:2" x14ac:dyDescent="0.25">
      <c r="A42" t="s">
        <v>186</v>
      </c>
      <c r="B42" s="1" t="s">
        <v>168</v>
      </c>
    </row>
    <row r="43" spans="1:2" x14ac:dyDescent="0.25">
      <c r="A43" t="s">
        <v>187</v>
      </c>
      <c r="B43" s="1" t="s">
        <v>33</v>
      </c>
    </row>
    <row r="44" spans="1:2" x14ac:dyDescent="0.25">
      <c r="A44" t="s">
        <v>187</v>
      </c>
      <c r="B44" s="1" t="s">
        <v>106</v>
      </c>
    </row>
    <row r="45" spans="1:2" x14ac:dyDescent="0.25">
      <c r="A45" t="s">
        <v>187</v>
      </c>
      <c r="B45" s="1" t="s">
        <v>126</v>
      </c>
    </row>
    <row r="46" spans="1:2" x14ac:dyDescent="0.25">
      <c r="A46" t="s">
        <v>187</v>
      </c>
      <c r="B46" s="1" t="s">
        <v>148</v>
      </c>
    </row>
    <row r="47" spans="1:2" x14ac:dyDescent="0.25">
      <c r="A47" t="s">
        <v>187</v>
      </c>
      <c r="B47" s="1" t="s">
        <v>160</v>
      </c>
    </row>
    <row r="48" spans="1:2" x14ac:dyDescent="0.25">
      <c r="A48" t="s">
        <v>187</v>
      </c>
      <c r="B48" s="1" t="s">
        <v>166</v>
      </c>
    </row>
    <row r="49" spans="1:2" x14ac:dyDescent="0.25">
      <c r="A49" t="s">
        <v>188</v>
      </c>
      <c r="B49" s="1" t="s">
        <v>23</v>
      </c>
    </row>
    <row r="50" spans="1:2" x14ac:dyDescent="0.25">
      <c r="A50" t="s">
        <v>188</v>
      </c>
      <c r="B50" s="1" t="s">
        <v>63</v>
      </c>
    </row>
    <row r="51" spans="1:2" x14ac:dyDescent="0.25">
      <c r="A51" t="s">
        <v>188</v>
      </c>
      <c r="B51" s="1" t="s">
        <v>108</v>
      </c>
    </row>
    <row r="52" spans="1:2" x14ac:dyDescent="0.25">
      <c r="A52" t="s">
        <v>188</v>
      </c>
      <c r="B52" s="1" t="s">
        <v>142</v>
      </c>
    </row>
    <row r="53" spans="1:2" x14ac:dyDescent="0.25">
      <c r="A53" t="s">
        <v>188</v>
      </c>
      <c r="B53" s="1" t="s">
        <v>144</v>
      </c>
    </row>
    <row r="54" spans="1:2" x14ac:dyDescent="0.25">
      <c r="A54" t="s">
        <v>188</v>
      </c>
      <c r="B54" s="1" t="s">
        <v>164</v>
      </c>
    </row>
    <row r="55" spans="1:2" x14ac:dyDescent="0.25">
      <c r="A55" t="s">
        <v>189</v>
      </c>
      <c r="B55" s="1" t="s">
        <v>41</v>
      </c>
    </row>
    <row r="56" spans="1:2" x14ac:dyDescent="0.25">
      <c r="A56" t="s">
        <v>189</v>
      </c>
      <c r="B56" s="1" t="s">
        <v>43</v>
      </c>
    </row>
    <row r="57" spans="1:2" x14ac:dyDescent="0.25">
      <c r="A57" t="s">
        <v>189</v>
      </c>
      <c r="B57" s="1" t="s">
        <v>128</v>
      </c>
    </row>
    <row r="58" spans="1:2" x14ac:dyDescent="0.25">
      <c r="A58" t="s">
        <v>189</v>
      </c>
      <c r="B58" s="1" t="s">
        <v>152</v>
      </c>
    </row>
    <row r="59" spans="1:2" x14ac:dyDescent="0.25">
      <c r="A59" t="s">
        <v>189</v>
      </c>
      <c r="B59" s="1" t="s">
        <v>154</v>
      </c>
    </row>
    <row r="60" spans="1:2" x14ac:dyDescent="0.25">
      <c r="A60" t="s">
        <v>189</v>
      </c>
      <c r="B60" s="1" t="s">
        <v>174</v>
      </c>
    </row>
    <row r="61" spans="1:2" x14ac:dyDescent="0.25">
      <c r="A61" t="s">
        <v>190</v>
      </c>
      <c r="B61" s="1" t="s">
        <v>27</v>
      </c>
    </row>
    <row r="62" spans="1:2" x14ac:dyDescent="0.25">
      <c r="A62" t="s">
        <v>190</v>
      </c>
      <c r="B62" s="1" t="s">
        <v>51</v>
      </c>
    </row>
    <row r="63" spans="1:2" x14ac:dyDescent="0.25">
      <c r="A63" t="s">
        <v>190</v>
      </c>
      <c r="B63" s="1" t="s">
        <v>53</v>
      </c>
    </row>
    <row r="64" spans="1:2" x14ac:dyDescent="0.25">
      <c r="A64" t="s">
        <v>190</v>
      </c>
      <c r="B64" s="1" t="s">
        <v>55</v>
      </c>
    </row>
    <row r="65" spans="1:2" x14ac:dyDescent="0.25">
      <c r="A65" t="s">
        <v>190</v>
      </c>
      <c r="B65" s="1" t="s">
        <v>69</v>
      </c>
    </row>
    <row r="66" spans="1:2" x14ac:dyDescent="0.25">
      <c r="A66" t="s">
        <v>190</v>
      </c>
      <c r="B66" s="1" t="s">
        <v>176</v>
      </c>
    </row>
    <row r="67" spans="1:2" x14ac:dyDescent="0.25">
      <c r="A67" t="s">
        <v>191</v>
      </c>
      <c r="B67" s="1" t="s">
        <v>35</v>
      </c>
    </row>
    <row r="68" spans="1:2" x14ac:dyDescent="0.25">
      <c r="A68" t="s">
        <v>191</v>
      </c>
      <c r="B68" s="1" t="s">
        <v>67</v>
      </c>
    </row>
    <row r="69" spans="1:2" x14ac:dyDescent="0.25">
      <c r="A69" t="s">
        <v>191</v>
      </c>
      <c r="B69" s="1" t="s">
        <v>75</v>
      </c>
    </row>
    <row r="70" spans="1:2" x14ac:dyDescent="0.25">
      <c r="A70" t="s">
        <v>191</v>
      </c>
      <c r="B70" s="1" t="s">
        <v>100</v>
      </c>
    </row>
    <row r="71" spans="1:2" x14ac:dyDescent="0.25">
      <c r="A71" t="s">
        <v>191</v>
      </c>
      <c r="B71" s="1" t="s">
        <v>172</v>
      </c>
    </row>
    <row r="72" spans="1:2" x14ac:dyDescent="0.25">
      <c r="A72" t="s">
        <v>191</v>
      </c>
      <c r="B72" s="1" t="s">
        <v>180</v>
      </c>
    </row>
    <row r="73" spans="1:2" x14ac:dyDescent="0.25">
      <c r="A73" t="s">
        <v>192</v>
      </c>
      <c r="B73" s="1" t="s">
        <v>29</v>
      </c>
    </row>
    <row r="74" spans="1:2" x14ac:dyDescent="0.25">
      <c r="A74" t="s">
        <v>192</v>
      </c>
      <c r="B74" s="1" t="s">
        <v>45</v>
      </c>
    </row>
    <row r="75" spans="1:2" x14ac:dyDescent="0.25">
      <c r="A75" t="s">
        <v>192</v>
      </c>
      <c r="B75" s="1" t="s">
        <v>73</v>
      </c>
    </row>
    <row r="76" spans="1:2" x14ac:dyDescent="0.25">
      <c r="A76" t="s">
        <v>192</v>
      </c>
      <c r="B76" s="1" t="s">
        <v>80</v>
      </c>
    </row>
    <row r="77" spans="1:2" x14ac:dyDescent="0.25">
      <c r="A77" t="s">
        <v>192</v>
      </c>
      <c r="B77" s="1" t="s">
        <v>90</v>
      </c>
    </row>
    <row r="78" spans="1:2" x14ac:dyDescent="0.25">
      <c r="A78" t="s">
        <v>192</v>
      </c>
      <c r="B78" s="1" t="s">
        <v>98</v>
      </c>
    </row>
    <row r="79" spans="1:2" x14ac:dyDescent="0.25">
      <c r="A79" t="s">
        <v>192</v>
      </c>
      <c r="B79" s="1" t="s">
        <v>120</v>
      </c>
    </row>
    <row r="80" spans="1:2" x14ac:dyDescent="0.25">
      <c r="A80" t="s">
        <v>192</v>
      </c>
      <c r="B80" s="1" t="s">
        <v>170</v>
      </c>
    </row>
    <row r="81" spans="1:2" x14ac:dyDescent="0.25">
      <c r="A81" t="s">
        <v>193</v>
      </c>
      <c r="B81" s="1" t="s">
        <v>8</v>
      </c>
    </row>
    <row r="82" spans="1:2" x14ac:dyDescent="0.25">
      <c r="A82" t="s">
        <v>193</v>
      </c>
      <c r="B82" s="1" t="s">
        <v>86</v>
      </c>
    </row>
    <row r="83" spans="1:2" x14ac:dyDescent="0.25">
      <c r="A83" t="s">
        <v>193</v>
      </c>
      <c r="B83" s="1" t="s">
        <v>92</v>
      </c>
    </row>
    <row r="84" spans="1:2" x14ac:dyDescent="0.25">
      <c r="A84" t="s">
        <v>193</v>
      </c>
      <c r="B84" s="1" t="s">
        <v>114</v>
      </c>
    </row>
    <row r="85" spans="1:2" x14ac:dyDescent="0.25">
      <c r="A85" t="s">
        <v>193</v>
      </c>
      <c r="B85" s="1" t="s">
        <v>122</v>
      </c>
    </row>
    <row r="86" spans="1:2" x14ac:dyDescent="0.25">
      <c r="A86" t="s">
        <v>193</v>
      </c>
      <c r="B86" s="1" t="s">
        <v>130</v>
      </c>
    </row>
    <row r="87" spans="1:2" x14ac:dyDescent="0.25">
      <c r="A87" t="s">
        <v>193</v>
      </c>
      <c r="B87" s="1" t="s">
        <v>132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E4B7-59F8-4A49-A818-11C5536D26F0}">
  <dimension ref="A1:B88"/>
  <sheetViews>
    <sheetView zoomScale="175" zoomScaleNormal="175" workbookViewId="0">
      <selection activeCell="E13" sqref="E13"/>
    </sheetView>
  </sheetViews>
  <sheetFormatPr defaultRowHeight="15" x14ac:dyDescent="0.25"/>
  <cols>
    <col min="1" max="1" width="19.85546875" bestFit="1" customWidth="1"/>
    <col min="2" max="2" width="11.5703125" customWidth="1"/>
  </cols>
  <sheetData>
    <row r="1" spans="1:2" x14ac:dyDescent="0.25">
      <c r="A1" t="s">
        <v>14</v>
      </c>
      <c r="B1">
        <v>5</v>
      </c>
    </row>
    <row r="2" spans="1:2" x14ac:dyDescent="0.25">
      <c r="A2" t="s">
        <v>16</v>
      </c>
      <c r="B2">
        <v>3</v>
      </c>
    </row>
    <row r="3" spans="1:2" x14ac:dyDescent="0.25">
      <c r="A3" t="s">
        <v>13</v>
      </c>
      <c r="B3" t="s">
        <v>0</v>
      </c>
    </row>
    <row r="4" spans="1:2" x14ac:dyDescent="0.25">
      <c r="A4" t="s">
        <v>194</v>
      </c>
      <c r="B4" t="s">
        <v>51</v>
      </c>
    </row>
    <row r="5" spans="1:2" x14ac:dyDescent="0.25">
      <c r="A5" t="s">
        <v>194</v>
      </c>
      <c r="B5" t="s">
        <v>61</v>
      </c>
    </row>
    <row r="6" spans="1:2" x14ac:dyDescent="0.25">
      <c r="A6" t="s">
        <v>194</v>
      </c>
      <c r="B6" t="s">
        <v>9</v>
      </c>
    </row>
    <row r="7" spans="1:2" x14ac:dyDescent="0.25">
      <c r="A7" t="s">
        <v>194</v>
      </c>
      <c r="B7" t="s">
        <v>67</v>
      </c>
    </row>
    <row r="8" spans="1:2" x14ac:dyDescent="0.25">
      <c r="A8" t="s">
        <v>194</v>
      </c>
      <c r="B8" t="s">
        <v>77</v>
      </c>
    </row>
    <row r="9" spans="1:2" x14ac:dyDescent="0.25">
      <c r="A9" t="s">
        <v>194</v>
      </c>
      <c r="B9" t="s">
        <v>7</v>
      </c>
    </row>
    <row r="10" spans="1:2" x14ac:dyDescent="0.25">
      <c r="A10" t="s">
        <v>194</v>
      </c>
      <c r="B10" t="s">
        <v>80</v>
      </c>
    </row>
    <row r="11" spans="1:2" x14ac:dyDescent="0.25">
      <c r="A11" t="s">
        <v>194</v>
      </c>
      <c r="B11" t="s">
        <v>11</v>
      </c>
    </row>
    <row r="12" spans="1:2" x14ac:dyDescent="0.25">
      <c r="A12" t="s">
        <v>194</v>
      </c>
      <c r="B12" t="s">
        <v>90</v>
      </c>
    </row>
    <row r="13" spans="1:2" x14ac:dyDescent="0.25">
      <c r="A13" t="s">
        <v>194</v>
      </c>
      <c r="B13" t="s">
        <v>94</v>
      </c>
    </row>
    <row r="14" spans="1:2" x14ac:dyDescent="0.25">
      <c r="A14" t="s">
        <v>194</v>
      </c>
      <c r="B14" t="s">
        <v>120</v>
      </c>
    </row>
    <row r="15" spans="1:2" x14ac:dyDescent="0.25">
      <c r="A15" t="s">
        <v>194</v>
      </c>
      <c r="B15" t="s">
        <v>128</v>
      </c>
    </row>
    <row r="16" spans="1:2" x14ac:dyDescent="0.25">
      <c r="A16" t="s">
        <v>194</v>
      </c>
      <c r="B16" t="s">
        <v>132</v>
      </c>
    </row>
    <row r="17" spans="1:2" x14ac:dyDescent="0.25">
      <c r="A17" t="s">
        <v>194</v>
      </c>
      <c r="B17" t="s">
        <v>136</v>
      </c>
    </row>
    <row r="18" spans="1:2" x14ac:dyDescent="0.25">
      <c r="A18" t="s">
        <v>194</v>
      </c>
      <c r="B18" t="s">
        <v>152</v>
      </c>
    </row>
    <row r="19" spans="1:2" x14ac:dyDescent="0.25">
      <c r="A19" t="s">
        <v>194</v>
      </c>
      <c r="B19" t="s">
        <v>154</v>
      </c>
    </row>
    <row r="20" spans="1:2" x14ac:dyDescent="0.25">
      <c r="A20" t="s">
        <v>194</v>
      </c>
      <c r="B20" t="s">
        <v>160</v>
      </c>
    </row>
    <row r="21" spans="1:2" x14ac:dyDescent="0.25">
      <c r="A21" t="s">
        <v>194</v>
      </c>
      <c r="B21" t="s">
        <v>5</v>
      </c>
    </row>
    <row r="22" spans="1:2" x14ac:dyDescent="0.25">
      <c r="A22" t="s">
        <v>194</v>
      </c>
      <c r="B22" t="s">
        <v>168</v>
      </c>
    </row>
    <row r="23" spans="1:2" x14ac:dyDescent="0.25">
      <c r="A23" t="s">
        <v>194</v>
      </c>
      <c r="B23" t="s">
        <v>172</v>
      </c>
    </row>
    <row r="24" spans="1:2" x14ac:dyDescent="0.25">
      <c r="A24" t="s">
        <v>195</v>
      </c>
      <c r="B24" t="s">
        <v>25</v>
      </c>
    </row>
    <row r="25" spans="1:2" x14ac:dyDescent="0.25">
      <c r="A25" t="s">
        <v>195</v>
      </c>
      <c r="B25" t="s">
        <v>29</v>
      </c>
    </row>
    <row r="26" spans="1:2" x14ac:dyDescent="0.25">
      <c r="A26" t="s">
        <v>195</v>
      </c>
      <c r="B26" t="s">
        <v>35</v>
      </c>
    </row>
    <row r="27" spans="1:2" x14ac:dyDescent="0.25">
      <c r="A27" t="s">
        <v>195</v>
      </c>
      <c r="B27" t="s">
        <v>39</v>
      </c>
    </row>
    <row r="28" spans="1:2" x14ac:dyDescent="0.25">
      <c r="A28" t="s">
        <v>195</v>
      </c>
      <c r="B28" t="s">
        <v>47</v>
      </c>
    </row>
    <row r="29" spans="1:2" x14ac:dyDescent="0.25">
      <c r="A29" t="s">
        <v>195</v>
      </c>
      <c r="B29" t="s">
        <v>108</v>
      </c>
    </row>
    <row r="30" spans="1:2" x14ac:dyDescent="0.25">
      <c r="A30" t="s">
        <v>195</v>
      </c>
      <c r="B30" t="s">
        <v>112</v>
      </c>
    </row>
    <row r="31" spans="1:2" x14ac:dyDescent="0.25">
      <c r="A31" t="s">
        <v>195</v>
      </c>
      <c r="B31" t="s">
        <v>122</v>
      </c>
    </row>
    <row r="32" spans="1:2" x14ac:dyDescent="0.25">
      <c r="A32" t="s">
        <v>195</v>
      </c>
      <c r="B32" t="s">
        <v>126</v>
      </c>
    </row>
    <row r="33" spans="1:2" x14ac:dyDescent="0.25">
      <c r="A33" t="s">
        <v>195</v>
      </c>
      <c r="B33" t="s">
        <v>130</v>
      </c>
    </row>
    <row r="34" spans="1:2" x14ac:dyDescent="0.25">
      <c r="A34" t="s">
        <v>195</v>
      </c>
      <c r="B34" t="s">
        <v>146</v>
      </c>
    </row>
    <row r="35" spans="1:2" x14ac:dyDescent="0.25">
      <c r="A35" t="s">
        <v>195</v>
      </c>
      <c r="B35" t="s">
        <v>148</v>
      </c>
    </row>
    <row r="36" spans="1:2" x14ac:dyDescent="0.25">
      <c r="A36" t="s">
        <v>195</v>
      </c>
      <c r="B36" t="s">
        <v>162</v>
      </c>
    </row>
    <row r="37" spans="1:2" x14ac:dyDescent="0.25">
      <c r="A37" t="s">
        <v>195</v>
      </c>
      <c r="B37" t="s">
        <v>164</v>
      </c>
    </row>
    <row r="38" spans="1:2" x14ac:dyDescent="0.25">
      <c r="A38" t="s">
        <v>195</v>
      </c>
      <c r="B38" t="s">
        <v>166</v>
      </c>
    </row>
    <row r="39" spans="1:2" x14ac:dyDescent="0.25">
      <c r="A39" t="s">
        <v>195</v>
      </c>
      <c r="B39" t="s">
        <v>170</v>
      </c>
    </row>
    <row r="40" spans="1:2" x14ac:dyDescent="0.25">
      <c r="A40" t="s">
        <v>196</v>
      </c>
      <c r="B40" t="s">
        <v>4</v>
      </c>
    </row>
    <row r="41" spans="1:2" x14ac:dyDescent="0.25">
      <c r="A41" t="s">
        <v>196</v>
      </c>
      <c r="B41" t="s">
        <v>23</v>
      </c>
    </row>
    <row r="42" spans="1:2" x14ac:dyDescent="0.25">
      <c r="A42" t="s">
        <v>196</v>
      </c>
      <c r="B42" t="s">
        <v>27</v>
      </c>
    </row>
    <row r="43" spans="1:2" x14ac:dyDescent="0.25">
      <c r="A43" t="s">
        <v>196</v>
      </c>
      <c r="B43" t="s">
        <v>33</v>
      </c>
    </row>
    <row r="44" spans="1:2" x14ac:dyDescent="0.25">
      <c r="A44" t="s">
        <v>196</v>
      </c>
      <c r="B44" t="s">
        <v>45</v>
      </c>
    </row>
    <row r="45" spans="1:2" x14ac:dyDescent="0.25">
      <c r="A45" t="s">
        <v>196</v>
      </c>
      <c r="B45" t="s">
        <v>49</v>
      </c>
    </row>
    <row r="46" spans="1:2" x14ac:dyDescent="0.25">
      <c r="A46" t="s">
        <v>196</v>
      </c>
      <c r="B46" t="s">
        <v>83</v>
      </c>
    </row>
    <row r="47" spans="1:2" x14ac:dyDescent="0.25">
      <c r="A47" t="s">
        <v>196</v>
      </c>
      <c r="B47" t="s">
        <v>88</v>
      </c>
    </row>
    <row r="48" spans="1:2" x14ac:dyDescent="0.25">
      <c r="A48" t="s">
        <v>196</v>
      </c>
      <c r="B48" t="s">
        <v>92</v>
      </c>
    </row>
    <row r="49" spans="1:2" x14ac:dyDescent="0.25">
      <c r="A49" t="s">
        <v>196</v>
      </c>
      <c r="B49" t="s">
        <v>114</v>
      </c>
    </row>
    <row r="50" spans="1:2" x14ac:dyDescent="0.25">
      <c r="A50" t="s">
        <v>196</v>
      </c>
      <c r="B50" t="s">
        <v>124</v>
      </c>
    </row>
    <row r="51" spans="1:2" x14ac:dyDescent="0.25">
      <c r="A51" t="s">
        <v>196</v>
      </c>
      <c r="B51" t="s">
        <v>138</v>
      </c>
    </row>
    <row r="52" spans="1:2" x14ac:dyDescent="0.25">
      <c r="A52" t="s">
        <v>196</v>
      </c>
      <c r="B52" t="s">
        <v>140</v>
      </c>
    </row>
    <row r="53" spans="1:2" x14ac:dyDescent="0.25">
      <c r="A53" t="s">
        <v>196</v>
      </c>
      <c r="B53" t="s">
        <v>142</v>
      </c>
    </row>
    <row r="54" spans="1:2" x14ac:dyDescent="0.25">
      <c r="A54" t="s">
        <v>196</v>
      </c>
      <c r="B54" t="s">
        <v>150</v>
      </c>
    </row>
    <row r="55" spans="1:2" x14ac:dyDescent="0.25">
      <c r="A55" t="s">
        <v>196</v>
      </c>
      <c r="B55" t="s">
        <v>158</v>
      </c>
    </row>
    <row r="56" spans="1:2" x14ac:dyDescent="0.25">
      <c r="A56" t="s">
        <v>197</v>
      </c>
      <c r="B56" t="s">
        <v>41</v>
      </c>
    </row>
    <row r="57" spans="1:2" x14ac:dyDescent="0.25">
      <c r="A57" t="s">
        <v>197</v>
      </c>
      <c r="B57" t="s">
        <v>55</v>
      </c>
    </row>
    <row r="58" spans="1:2" x14ac:dyDescent="0.25">
      <c r="A58" t="s">
        <v>197</v>
      </c>
      <c r="B58" t="s">
        <v>57</v>
      </c>
    </row>
    <row r="59" spans="1:2" x14ac:dyDescent="0.25">
      <c r="A59" t="s">
        <v>197</v>
      </c>
      <c r="B59" t="s">
        <v>69</v>
      </c>
    </row>
    <row r="60" spans="1:2" x14ac:dyDescent="0.25">
      <c r="A60" t="s">
        <v>197</v>
      </c>
      <c r="B60" t="s">
        <v>71</v>
      </c>
    </row>
    <row r="61" spans="1:2" x14ac:dyDescent="0.25">
      <c r="A61" t="s">
        <v>197</v>
      </c>
      <c r="B61" t="s">
        <v>73</v>
      </c>
    </row>
    <row r="62" spans="1:2" x14ac:dyDescent="0.25">
      <c r="A62" t="s">
        <v>197</v>
      </c>
      <c r="B62" t="s">
        <v>98</v>
      </c>
    </row>
    <row r="63" spans="1:2" x14ac:dyDescent="0.25">
      <c r="A63" t="s">
        <v>197</v>
      </c>
      <c r="B63" t="s">
        <v>100</v>
      </c>
    </row>
    <row r="64" spans="1:2" x14ac:dyDescent="0.25">
      <c r="A64" t="s">
        <v>197</v>
      </c>
      <c r="B64" t="s">
        <v>106</v>
      </c>
    </row>
    <row r="65" spans="1:2" x14ac:dyDescent="0.25">
      <c r="A65" t="s">
        <v>197</v>
      </c>
      <c r="B65" t="s">
        <v>110</v>
      </c>
    </row>
    <row r="66" spans="1:2" x14ac:dyDescent="0.25">
      <c r="A66" t="s">
        <v>197</v>
      </c>
      <c r="B66" t="s">
        <v>116</v>
      </c>
    </row>
    <row r="67" spans="1:2" x14ac:dyDescent="0.25">
      <c r="A67" t="s">
        <v>197</v>
      </c>
      <c r="B67" t="s">
        <v>118</v>
      </c>
    </row>
    <row r="68" spans="1:2" x14ac:dyDescent="0.25">
      <c r="A68" t="s">
        <v>197</v>
      </c>
      <c r="B68" t="s">
        <v>156</v>
      </c>
    </row>
    <row r="69" spans="1:2" x14ac:dyDescent="0.25">
      <c r="A69" t="s">
        <v>197</v>
      </c>
      <c r="B69" t="s">
        <v>176</v>
      </c>
    </row>
    <row r="70" spans="1:2" x14ac:dyDescent="0.25">
      <c r="A70" t="s">
        <v>197</v>
      </c>
      <c r="B70" t="s">
        <v>178</v>
      </c>
    </row>
    <row r="71" spans="1:2" x14ac:dyDescent="0.25">
      <c r="A71" t="s">
        <v>197</v>
      </c>
      <c r="B71" t="s">
        <v>182</v>
      </c>
    </row>
    <row r="72" spans="1:2" x14ac:dyDescent="0.25">
      <c r="A72" t="s">
        <v>198</v>
      </c>
      <c r="B72" t="s">
        <v>31</v>
      </c>
    </row>
    <row r="73" spans="1:2" x14ac:dyDescent="0.25">
      <c r="A73" t="s">
        <v>198</v>
      </c>
      <c r="B73" t="s">
        <v>37</v>
      </c>
    </row>
    <row r="74" spans="1:2" x14ac:dyDescent="0.25">
      <c r="A74" t="s">
        <v>198</v>
      </c>
      <c r="B74" t="s">
        <v>43</v>
      </c>
    </row>
    <row r="75" spans="1:2" x14ac:dyDescent="0.25">
      <c r="A75" t="s">
        <v>198</v>
      </c>
      <c r="B75" t="s">
        <v>53</v>
      </c>
    </row>
    <row r="76" spans="1:2" x14ac:dyDescent="0.25">
      <c r="A76" t="s">
        <v>198</v>
      </c>
      <c r="B76" t="s">
        <v>59</v>
      </c>
    </row>
    <row r="77" spans="1:2" x14ac:dyDescent="0.25">
      <c r="A77" t="s">
        <v>198</v>
      </c>
      <c r="B77" t="s">
        <v>63</v>
      </c>
    </row>
    <row r="78" spans="1:2" x14ac:dyDescent="0.25">
      <c r="A78" t="s">
        <v>198</v>
      </c>
      <c r="B78" t="s">
        <v>8</v>
      </c>
    </row>
    <row r="79" spans="1:2" x14ac:dyDescent="0.25">
      <c r="A79" t="s">
        <v>198</v>
      </c>
      <c r="B79" t="s">
        <v>75</v>
      </c>
    </row>
    <row r="80" spans="1:2" x14ac:dyDescent="0.25">
      <c r="A80" t="s">
        <v>198</v>
      </c>
      <c r="B80" t="s">
        <v>10</v>
      </c>
    </row>
    <row r="81" spans="1:2" x14ac:dyDescent="0.25">
      <c r="A81" t="s">
        <v>198</v>
      </c>
      <c r="B81" t="s">
        <v>86</v>
      </c>
    </row>
    <row r="82" spans="1:2" x14ac:dyDescent="0.25">
      <c r="A82" t="s">
        <v>198</v>
      </c>
      <c r="B82" t="s">
        <v>96</v>
      </c>
    </row>
    <row r="83" spans="1:2" x14ac:dyDescent="0.25">
      <c r="A83" t="s">
        <v>198</v>
      </c>
      <c r="B83" t="s">
        <v>102</v>
      </c>
    </row>
    <row r="84" spans="1:2" x14ac:dyDescent="0.25">
      <c r="A84" t="s">
        <v>198</v>
      </c>
      <c r="B84" t="s">
        <v>104</v>
      </c>
    </row>
    <row r="85" spans="1:2" x14ac:dyDescent="0.25">
      <c r="A85" t="s">
        <v>198</v>
      </c>
      <c r="B85" t="s">
        <v>134</v>
      </c>
    </row>
    <row r="86" spans="1:2" x14ac:dyDescent="0.25">
      <c r="A86" t="s">
        <v>198</v>
      </c>
      <c r="B86" t="s">
        <v>144</v>
      </c>
    </row>
    <row r="87" spans="1:2" x14ac:dyDescent="0.25">
      <c r="A87" t="s">
        <v>198</v>
      </c>
      <c r="B87" t="s">
        <v>174</v>
      </c>
    </row>
    <row r="88" spans="1:2" x14ac:dyDescent="0.25">
      <c r="A88" t="s">
        <v>198</v>
      </c>
      <c r="B88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53F-1FA6-4B9A-B26E-9FB2EC55578F}">
  <dimension ref="A1:D86"/>
  <sheetViews>
    <sheetView zoomScale="205" zoomScaleNormal="205" workbookViewId="0"/>
  </sheetViews>
  <sheetFormatPr defaultColWidth="8.7109375" defaultRowHeight="15" x14ac:dyDescent="0.25"/>
  <cols>
    <col min="1" max="1" width="19.28515625" customWidth="1"/>
    <col min="2" max="2" width="10.140625" customWidth="1"/>
    <col min="3" max="3" width="26.28515625" bestFit="1" customWidth="1"/>
    <col min="4" max="4" width="12.28515625" style="1" bestFit="1" customWidth="1"/>
    <col min="9" max="9" width="9.42578125" bestFit="1" customWidth="1"/>
  </cols>
  <sheetData>
    <row r="1" spans="1:4" x14ac:dyDescent="0.25">
      <c r="A1" s="12" t="str" cm="1">
        <f t="array" ref="A1:D86">_xlfn._xlws.PY(0,0,RN_Count,RN_ContinuityWeight,CensusTable[],RN_Previous[])</f>
        <v>StaffID</v>
      </c>
      <c r="B1" s="7" t="str">
        <v>SiteCode</v>
      </c>
      <c r="C1" s="7" t="str">
        <v>FacilityName</v>
      </c>
      <c r="D1" s="8" t="str">
        <v>PatientCount</v>
      </c>
    </row>
    <row r="2" spans="1:4" x14ac:dyDescent="0.25">
      <c r="A2" t="str">
        <v>Nurse 1</v>
      </c>
      <c r="B2" t="str">
        <v>ABQ</v>
      </c>
      <c r="C2" t="str">
        <v>Albuquerque</v>
      </c>
      <c r="D2" s="1">
        <v>6</v>
      </c>
    </row>
    <row r="3" spans="1:4" x14ac:dyDescent="0.25">
      <c r="A3" t="str">
        <v>Nurse 1</v>
      </c>
      <c r="B3" t="str">
        <v>CHY</v>
      </c>
      <c r="C3" t="str">
        <v>Cheyenne</v>
      </c>
      <c r="D3" s="1">
        <v>4</v>
      </c>
    </row>
    <row r="4" spans="1:4" x14ac:dyDescent="0.25">
      <c r="A4" t="str">
        <v>Nurse 1</v>
      </c>
      <c r="B4" t="str">
        <v>LIT</v>
      </c>
      <c r="C4" t="str">
        <v>Little Rock</v>
      </c>
      <c r="D4" s="1">
        <v>30</v>
      </c>
    </row>
    <row r="5" spans="1:4" x14ac:dyDescent="0.25">
      <c r="A5" t="str">
        <v>Nurse 1</v>
      </c>
      <c r="B5" t="str">
        <v>WRJ</v>
      </c>
      <c r="C5" t="str">
        <v>White River Junction</v>
      </c>
      <c r="D5" s="1">
        <v>3</v>
      </c>
    </row>
    <row r="6" spans="1:4" x14ac:dyDescent="0.25">
      <c r="A6" t="str">
        <v>Nurse 2</v>
      </c>
      <c r="B6" t="str">
        <v>CLA</v>
      </c>
      <c r="C6" t="str">
        <v>Clarksburg</v>
      </c>
      <c r="D6" s="1">
        <v>10</v>
      </c>
    </row>
    <row r="7" spans="1:4" x14ac:dyDescent="0.25">
      <c r="A7" t="str">
        <v>Nurse 2</v>
      </c>
      <c r="B7" t="str">
        <v>DAY</v>
      </c>
      <c r="C7" t="str">
        <v>Dayton</v>
      </c>
      <c r="D7" s="1">
        <v>5</v>
      </c>
    </row>
    <row r="8" spans="1:4" x14ac:dyDescent="0.25">
      <c r="A8" t="str">
        <v>Nurse 2</v>
      </c>
      <c r="B8" t="str">
        <v>MIN</v>
      </c>
      <c r="C8" t="str">
        <v>Minneapolis</v>
      </c>
      <c r="D8" s="1">
        <v>9</v>
      </c>
    </row>
    <row r="9" spans="1:4" x14ac:dyDescent="0.25">
      <c r="A9" t="str">
        <v>Nurse 2</v>
      </c>
      <c r="B9" t="str">
        <v>NYN</v>
      </c>
      <c r="C9" t="str">
        <v>NYN-New York Harbor</v>
      </c>
      <c r="D9" s="1">
        <v>16</v>
      </c>
    </row>
    <row r="10" spans="1:4" x14ac:dyDescent="0.25">
      <c r="A10" t="str">
        <v>Nurse 2</v>
      </c>
      <c r="B10" t="str">
        <v>TOG</v>
      </c>
      <c r="C10" t="str">
        <v>Togus</v>
      </c>
      <c r="D10" s="1">
        <v>4</v>
      </c>
    </row>
    <row r="11" spans="1:4" x14ac:dyDescent="0.25">
      <c r="A11" t="str">
        <v>Nurse 3</v>
      </c>
      <c r="B11" t="str">
        <v>AUG</v>
      </c>
      <c r="C11" t="str">
        <v>Augusta</v>
      </c>
      <c r="D11" s="1">
        <v>3</v>
      </c>
    </row>
    <row r="12" spans="1:4" x14ac:dyDescent="0.25">
      <c r="A12" t="str">
        <v>Nurse 3</v>
      </c>
      <c r="B12" t="str">
        <v>LAS</v>
      </c>
      <c r="C12" t="str">
        <v>Las Vegas</v>
      </c>
      <c r="D12" s="1">
        <v>11</v>
      </c>
    </row>
    <row r="13" spans="1:4" x14ac:dyDescent="0.25">
      <c r="A13" t="str">
        <v>Nurse 3</v>
      </c>
      <c r="B13" t="str">
        <v>MOU</v>
      </c>
      <c r="C13" t="str">
        <v>Mountain Home</v>
      </c>
      <c r="D13" s="1">
        <v>9</v>
      </c>
    </row>
    <row r="14" spans="1:4" x14ac:dyDescent="0.25">
      <c r="A14" t="str">
        <v>Nurse 3</v>
      </c>
      <c r="B14" t="str">
        <v>PAL</v>
      </c>
      <c r="C14" t="str">
        <v>Palo Alto</v>
      </c>
      <c r="D14" s="1">
        <v>15</v>
      </c>
    </row>
    <row r="15" spans="1:4" x14ac:dyDescent="0.25">
      <c r="A15" t="str">
        <v>Nurse 3</v>
      </c>
      <c r="B15" t="str">
        <v>SYR</v>
      </c>
      <c r="C15" t="str">
        <v>SYR-Upstate New York</v>
      </c>
      <c r="D15" s="1">
        <v>5</v>
      </c>
    </row>
    <row r="16" spans="1:4" x14ac:dyDescent="0.25">
      <c r="A16" t="str">
        <v>Nurse 4</v>
      </c>
      <c r="B16" t="str">
        <v>ALN</v>
      </c>
      <c r="C16" t="str">
        <v>ALN-Upstate New York</v>
      </c>
      <c r="D16" s="1">
        <v>4</v>
      </c>
    </row>
    <row r="17" spans="1:4" x14ac:dyDescent="0.25">
      <c r="A17" t="str">
        <v>Nurse 4</v>
      </c>
      <c r="B17" t="str">
        <v>CLE</v>
      </c>
      <c r="C17" t="str">
        <v>Cleveland</v>
      </c>
      <c r="D17" s="1">
        <v>14</v>
      </c>
    </row>
    <row r="18" spans="1:4" x14ac:dyDescent="0.25">
      <c r="A18" t="str">
        <v>Nurse 4</v>
      </c>
      <c r="B18" t="str">
        <v>OKL</v>
      </c>
      <c r="C18" t="str">
        <v>Oklahoma City</v>
      </c>
      <c r="D18" s="1">
        <v>12</v>
      </c>
    </row>
    <row r="19" spans="1:4" x14ac:dyDescent="0.25">
      <c r="A19" t="str">
        <v>Nurse 4</v>
      </c>
      <c r="B19" t="str">
        <v>OMA</v>
      </c>
      <c r="C19" t="str">
        <v>Omaha</v>
      </c>
      <c r="D19" s="1">
        <v>9</v>
      </c>
    </row>
    <row r="20" spans="1:4" x14ac:dyDescent="0.25">
      <c r="A20" t="str">
        <v>Nurse 4</v>
      </c>
      <c r="B20" t="str">
        <v>SUX</v>
      </c>
      <c r="C20" t="str">
        <v>Sioux Falls</v>
      </c>
      <c r="D20" s="1">
        <v>2</v>
      </c>
    </row>
    <row r="21" spans="1:4" x14ac:dyDescent="0.25">
      <c r="A21" t="str">
        <v>Nurse 5</v>
      </c>
      <c r="B21" t="str">
        <v>BHH</v>
      </c>
      <c r="C21" t="str">
        <v>Black Hills</v>
      </c>
      <c r="D21" s="1">
        <v>1</v>
      </c>
    </row>
    <row r="22" spans="1:4" x14ac:dyDescent="0.25">
      <c r="A22" t="str">
        <v>Nurse 5</v>
      </c>
      <c r="B22" t="str">
        <v>BIL</v>
      </c>
      <c r="C22" t="str">
        <v>Biloxi</v>
      </c>
      <c r="D22" s="1">
        <v>4</v>
      </c>
    </row>
    <row r="23" spans="1:4" x14ac:dyDescent="0.25">
      <c r="A23" t="str">
        <v>Nurse 5</v>
      </c>
      <c r="B23" t="str">
        <v>MUS</v>
      </c>
      <c r="C23" t="str">
        <v>Muskogee</v>
      </c>
      <c r="D23" s="1">
        <v>4</v>
      </c>
    </row>
    <row r="24" spans="1:4" x14ac:dyDescent="0.25">
      <c r="A24" t="str">
        <v>Nurse 5</v>
      </c>
      <c r="B24" t="str">
        <v>REN</v>
      </c>
      <c r="C24" t="str">
        <v>Reno</v>
      </c>
      <c r="D24" s="1">
        <v>9</v>
      </c>
    </row>
    <row r="25" spans="1:4" x14ac:dyDescent="0.25">
      <c r="A25" t="str">
        <v>Nurse 5</v>
      </c>
      <c r="B25" t="str">
        <v>RIC</v>
      </c>
      <c r="C25" t="str">
        <v>Richmond</v>
      </c>
      <c r="D25" s="1">
        <v>14</v>
      </c>
    </row>
    <row r="26" spans="1:4" x14ac:dyDescent="0.25">
      <c r="A26" t="str">
        <v>Nurse 5</v>
      </c>
      <c r="B26" t="str">
        <v>WAS</v>
      </c>
      <c r="C26" t="str">
        <v>Washington DC</v>
      </c>
      <c r="D26" s="1">
        <v>12</v>
      </c>
    </row>
    <row r="27" spans="1:4" x14ac:dyDescent="0.25">
      <c r="A27" t="str">
        <v>Nurse 6</v>
      </c>
      <c r="B27" t="str">
        <v>BUF</v>
      </c>
      <c r="C27" t="str">
        <v>BUF-Upstate New York</v>
      </c>
      <c r="D27" s="1">
        <v>11</v>
      </c>
    </row>
    <row r="28" spans="1:4" x14ac:dyDescent="0.25">
      <c r="A28" t="str">
        <v>Nurse 6</v>
      </c>
      <c r="B28" t="str">
        <v>BYN</v>
      </c>
      <c r="C28" t="str">
        <v>BYN-New York Harbor</v>
      </c>
      <c r="D28" s="1">
        <v>6</v>
      </c>
    </row>
    <row r="29" spans="1:4" x14ac:dyDescent="0.25">
      <c r="A29" t="str">
        <v>Nurse 6</v>
      </c>
      <c r="B29" t="str">
        <v>CAV</v>
      </c>
      <c r="C29" t="str">
        <v>Central Alabama</v>
      </c>
      <c r="D29" s="1">
        <v>3</v>
      </c>
    </row>
    <row r="30" spans="1:4" x14ac:dyDescent="0.25">
      <c r="A30" t="str">
        <v>Nurse 6</v>
      </c>
      <c r="B30" t="str">
        <v>CTX</v>
      </c>
      <c r="C30" t="str">
        <v>Temple (Central Texas)</v>
      </c>
      <c r="D30" s="1">
        <v>1</v>
      </c>
    </row>
    <row r="31" spans="1:4" x14ac:dyDescent="0.25">
      <c r="A31" t="str">
        <v>Nurse 6</v>
      </c>
      <c r="B31" t="str">
        <v>LEB</v>
      </c>
      <c r="C31" t="str">
        <v>Lebanon</v>
      </c>
      <c r="D31" s="1">
        <v>7</v>
      </c>
    </row>
    <row r="32" spans="1:4" x14ac:dyDescent="0.25">
      <c r="A32" t="str">
        <v>Nurse 6</v>
      </c>
      <c r="B32" t="str">
        <v>WBP</v>
      </c>
      <c r="C32" t="str">
        <v>Wilkes-Barre</v>
      </c>
      <c r="D32" s="1">
        <v>14</v>
      </c>
    </row>
    <row r="33" spans="1:4" x14ac:dyDescent="0.25">
      <c r="A33" t="str">
        <v>Nurse 7</v>
      </c>
      <c r="B33" t="str">
        <v>ANN</v>
      </c>
      <c r="C33" t="str">
        <v>Ann Arbor</v>
      </c>
      <c r="D33" s="1">
        <v>9</v>
      </c>
    </row>
    <row r="34" spans="1:4" x14ac:dyDescent="0.25">
      <c r="A34" t="str">
        <v>Nurse 7</v>
      </c>
      <c r="B34" t="str">
        <v>BAL</v>
      </c>
      <c r="C34" t="str">
        <v>Baltimore</v>
      </c>
      <c r="D34" s="1">
        <v>13</v>
      </c>
    </row>
    <row r="35" spans="1:4" x14ac:dyDescent="0.25">
      <c r="A35" t="str">
        <v>Nurse 7</v>
      </c>
      <c r="B35" t="str">
        <v>CON</v>
      </c>
      <c r="C35" t="str">
        <v>Connecticut</v>
      </c>
      <c r="D35" s="1">
        <v>6</v>
      </c>
    </row>
    <row r="36" spans="1:4" x14ac:dyDescent="0.25">
      <c r="A36" t="str">
        <v>Nurse 7</v>
      </c>
      <c r="B36" t="str">
        <v>DES</v>
      </c>
      <c r="C36" t="str">
        <v>Des Moines</v>
      </c>
      <c r="D36" s="1">
        <v>3</v>
      </c>
    </row>
    <row r="37" spans="1:4" x14ac:dyDescent="0.25">
      <c r="A37" t="str">
        <v>Nurse 7</v>
      </c>
      <c r="B37" t="str">
        <v>IOW</v>
      </c>
      <c r="C37" t="str">
        <v>Iowa City</v>
      </c>
      <c r="D37" s="1">
        <v>8</v>
      </c>
    </row>
    <row r="38" spans="1:4" x14ac:dyDescent="0.25">
      <c r="A38" t="str">
        <v>Nurse 7</v>
      </c>
      <c r="B38" t="str">
        <v>WIM</v>
      </c>
      <c r="C38" t="str">
        <v>Wilmington</v>
      </c>
      <c r="D38" s="1">
        <v>1</v>
      </c>
    </row>
    <row r="39" spans="1:4" x14ac:dyDescent="0.25">
      <c r="A39" t="str">
        <v>Nurse 8</v>
      </c>
      <c r="B39" t="str">
        <v>ASH</v>
      </c>
      <c r="C39" t="str">
        <v>Asheville</v>
      </c>
      <c r="D39" s="1">
        <v>9</v>
      </c>
    </row>
    <row r="40" spans="1:4" x14ac:dyDescent="0.25">
      <c r="A40" t="str">
        <v>Nurse 8</v>
      </c>
      <c r="B40" t="str">
        <v>BIR</v>
      </c>
      <c r="C40" t="str">
        <v>Birmingham</v>
      </c>
      <c r="D40" s="1">
        <v>13</v>
      </c>
    </row>
    <row r="41" spans="1:4" x14ac:dyDescent="0.25">
      <c r="A41" t="str">
        <v>Nurse 8</v>
      </c>
      <c r="B41" t="str">
        <v>DEN</v>
      </c>
      <c r="C41" t="str">
        <v>Denver</v>
      </c>
      <c r="D41" s="1">
        <v>6</v>
      </c>
    </row>
    <row r="42" spans="1:4" x14ac:dyDescent="0.25">
      <c r="A42" t="str">
        <v>Nurse 8</v>
      </c>
      <c r="B42" t="str">
        <v>FAR</v>
      </c>
      <c r="C42" t="str">
        <v>Fargo</v>
      </c>
      <c r="D42" s="1">
        <v>0</v>
      </c>
    </row>
    <row r="43" spans="1:4" x14ac:dyDescent="0.25">
      <c r="A43" t="str">
        <v>Nurse 8</v>
      </c>
      <c r="B43" t="str">
        <v>GRJ</v>
      </c>
      <c r="C43" t="str">
        <v>Grand Junction</v>
      </c>
      <c r="D43" s="1">
        <v>3</v>
      </c>
    </row>
    <row r="44" spans="1:4" x14ac:dyDescent="0.25">
      <c r="A44" t="str">
        <v>Nurse 8</v>
      </c>
      <c r="B44" t="str">
        <v>IND</v>
      </c>
      <c r="C44" t="str">
        <v>Indianapolis</v>
      </c>
      <c r="D44" s="1">
        <v>12</v>
      </c>
    </row>
    <row r="45" spans="1:4" x14ac:dyDescent="0.25">
      <c r="A45" t="str">
        <v>Nurse 8</v>
      </c>
      <c r="B45" t="str">
        <v>MAR</v>
      </c>
      <c r="C45" t="str">
        <v>Marion</v>
      </c>
      <c r="D45" s="1">
        <v>0</v>
      </c>
    </row>
    <row r="46" spans="1:4" x14ac:dyDescent="0.25">
      <c r="A46" t="str">
        <v>Nurse 8</v>
      </c>
      <c r="B46" t="str">
        <v>TOP</v>
      </c>
      <c r="C46" t="str">
        <v>Topeka</v>
      </c>
      <c r="D46" s="1">
        <v>0</v>
      </c>
    </row>
    <row r="47" spans="1:4" x14ac:dyDescent="0.25">
      <c r="A47" t="str">
        <v>Nurse 9</v>
      </c>
      <c r="B47" t="str">
        <v>CMO</v>
      </c>
      <c r="C47" t="str">
        <v>Columbia, MO</v>
      </c>
      <c r="D47" s="1">
        <v>9</v>
      </c>
    </row>
    <row r="48" spans="1:4" x14ac:dyDescent="0.25">
      <c r="A48" t="str">
        <v>Nurse 9</v>
      </c>
      <c r="B48" t="str">
        <v>FRE</v>
      </c>
      <c r="C48" t="str">
        <v>Fresno</v>
      </c>
      <c r="D48" s="1">
        <v>13</v>
      </c>
    </row>
    <row r="49" spans="1:4" x14ac:dyDescent="0.25">
      <c r="A49" t="str">
        <v>Nurse 9</v>
      </c>
      <c r="B49" t="str">
        <v>HAM</v>
      </c>
      <c r="C49" t="str">
        <v>Hampton</v>
      </c>
      <c r="D49" s="1">
        <v>0</v>
      </c>
    </row>
    <row r="50" spans="1:4" x14ac:dyDescent="0.25">
      <c r="A50" t="str">
        <v>Nurse 9</v>
      </c>
      <c r="B50" t="str">
        <v>LKC</v>
      </c>
      <c r="C50" t="str">
        <v>North Florida/South Georgia</v>
      </c>
      <c r="D50" s="1">
        <v>6</v>
      </c>
    </row>
    <row r="51" spans="1:4" x14ac:dyDescent="0.25">
      <c r="A51" t="str">
        <v>Nurse 9</v>
      </c>
      <c r="B51" t="str">
        <v>MEM</v>
      </c>
      <c r="C51" t="str">
        <v>Memphis</v>
      </c>
      <c r="D51" s="1">
        <v>12</v>
      </c>
    </row>
    <row r="52" spans="1:4" x14ac:dyDescent="0.25">
      <c r="A52" t="str">
        <v>Nurse 9</v>
      </c>
      <c r="B52" t="str">
        <v>MWV</v>
      </c>
      <c r="C52" t="str">
        <v>Martinsburg</v>
      </c>
      <c r="D52" s="1">
        <v>3</v>
      </c>
    </row>
    <row r="53" spans="1:4" x14ac:dyDescent="0.25">
      <c r="A53" t="str">
        <v>Nurse 9</v>
      </c>
      <c r="B53" t="str">
        <v>NIN</v>
      </c>
      <c r="C53" t="str">
        <v>Northern Indiana</v>
      </c>
      <c r="D53" s="1">
        <v>0</v>
      </c>
    </row>
    <row r="54" spans="1:4" x14ac:dyDescent="0.25">
      <c r="A54" t="str">
        <v>Nurse 10</v>
      </c>
      <c r="B54" t="str">
        <v>CMS</v>
      </c>
      <c r="C54" t="str">
        <v>Columbia, SC</v>
      </c>
      <c r="D54" s="1">
        <v>7</v>
      </c>
    </row>
    <row r="55" spans="1:4" x14ac:dyDescent="0.25">
      <c r="A55" t="str">
        <v>Nurse 10</v>
      </c>
      <c r="B55" t="str">
        <v>FHM</v>
      </c>
      <c r="C55" t="str">
        <v>Fort Harrison</v>
      </c>
      <c r="D55" s="1">
        <v>2</v>
      </c>
    </row>
    <row r="56" spans="1:4" x14ac:dyDescent="0.25">
      <c r="A56" t="str">
        <v>Nurse 10</v>
      </c>
      <c r="B56" t="str">
        <v>FNC</v>
      </c>
      <c r="C56" t="str">
        <v>Fayetteville, NC</v>
      </c>
      <c r="D56" s="1">
        <v>2</v>
      </c>
    </row>
    <row r="57" spans="1:4" x14ac:dyDescent="0.25">
      <c r="A57" t="str">
        <v>Nurse 10</v>
      </c>
      <c r="B57" t="str">
        <v>GLA</v>
      </c>
      <c r="C57" t="str">
        <v>West Los Angeles</v>
      </c>
      <c r="D57" s="1">
        <v>29</v>
      </c>
    </row>
    <row r="58" spans="1:4" x14ac:dyDescent="0.25">
      <c r="A58" t="str">
        <v>Nurse 11</v>
      </c>
      <c r="B58" t="str">
        <v>DOD</v>
      </c>
      <c r="C58" t="str">
        <v>Nellis AFB</v>
      </c>
      <c r="D58" s="1">
        <v>2</v>
      </c>
    </row>
    <row r="59" spans="1:4" x14ac:dyDescent="0.25">
      <c r="A59" t="str">
        <v>Nurse 11</v>
      </c>
      <c r="B59" t="str">
        <v>HOU</v>
      </c>
      <c r="C59" t="str">
        <v>Houston</v>
      </c>
      <c r="D59" s="1">
        <v>30</v>
      </c>
    </row>
    <row r="60" spans="1:4" x14ac:dyDescent="0.25">
      <c r="A60" t="str">
        <v>Nurse 11</v>
      </c>
      <c r="B60" t="str">
        <v>LEA</v>
      </c>
      <c r="C60" t="str">
        <v>Leavenworth</v>
      </c>
      <c r="D60" s="1">
        <v>4</v>
      </c>
    </row>
    <row r="61" spans="1:4" x14ac:dyDescent="0.25">
      <c r="A61" t="str">
        <v>Nurse 11</v>
      </c>
      <c r="B61" t="str">
        <v>SBY</v>
      </c>
      <c r="C61" t="str">
        <v>Salisbury</v>
      </c>
      <c r="D61" s="1">
        <v>3</v>
      </c>
    </row>
    <row r="62" spans="1:4" x14ac:dyDescent="0.25">
      <c r="A62" t="str">
        <v>Nurse 11</v>
      </c>
      <c r="B62" t="str">
        <v>SPO</v>
      </c>
      <c r="C62" t="str">
        <v>Spokane</v>
      </c>
      <c r="D62" s="1">
        <v>2</v>
      </c>
    </row>
    <row r="63" spans="1:4" x14ac:dyDescent="0.25">
      <c r="A63" t="str">
        <v>Nurse 12</v>
      </c>
      <c r="B63" t="str">
        <v>ATG</v>
      </c>
      <c r="C63" t="str">
        <v>Atlanta</v>
      </c>
      <c r="D63" s="1">
        <v>7</v>
      </c>
    </row>
    <row r="64" spans="1:4" x14ac:dyDescent="0.25">
      <c r="A64" t="str">
        <v>Nurse 12</v>
      </c>
      <c r="B64" t="str">
        <v>BEC</v>
      </c>
      <c r="C64" t="str">
        <v>Beckley</v>
      </c>
      <c r="D64" s="1">
        <v>2</v>
      </c>
    </row>
    <row r="65" spans="1:4" x14ac:dyDescent="0.25">
      <c r="A65" t="str">
        <v>Nurse 12</v>
      </c>
      <c r="B65" t="str">
        <v>HUN</v>
      </c>
      <c r="C65" t="str">
        <v>Huntington</v>
      </c>
      <c r="D65" s="1">
        <v>2</v>
      </c>
    </row>
    <row r="66" spans="1:4" x14ac:dyDescent="0.25">
      <c r="A66" t="str">
        <v>Nurse 12</v>
      </c>
      <c r="B66" t="str">
        <v>SAJ</v>
      </c>
      <c r="C66" t="str">
        <v>San Juan</v>
      </c>
      <c r="D66" s="1">
        <v>24</v>
      </c>
    </row>
    <row r="67" spans="1:4" x14ac:dyDescent="0.25">
      <c r="A67" t="str">
        <v>Nurse 12</v>
      </c>
      <c r="B67" t="str">
        <v>STL</v>
      </c>
      <c r="C67" t="str">
        <v>St. Louis</v>
      </c>
      <c r="D67" s="1">
        <v>7</v>
      </c>
    </row>
    <row r="68" spans="1:4" x14ac:dyDescent="0.25">
      <c r="A68" t="str">
        <v>Nurse 13</v>
      </c>
      <c r="B68" t="str">
        <v>BAY</v>
      </c>
      <c r="C68" t="str">
        <v>Bay Pines</v>
      </c>
      <c r="D68" s="1">
        <v>16</v>
      </c>
    </row>
    <row r="69" spans="1:4" x14ac:dyDescent="0.25">
      <c r="A69" t="str">
        <v>Nurse 13</v>
      </c>
      <c r="B69" t="str">
        <v>FAV</v>
      </c>
      <c r="C69" t="str">
        <v>Fayetteville, AR</v>
      </c>
      <c r="D69" s="1">
        <v>4</v>
      </c>
    </row>
    <row r="70" spans="1:4" x14ac:dyDescent="0.25">
      <c r="A70" t="str">
        <v>Nurse 13</v>
      </c>
      <c r="B70" t="str">
        <v>ORL</v>
      </c>
      <c r="C70" t="str">
        <v>Orlando</v>
      </c>
      <c r="D70" s="1">
        <v>11</v>
      </c>
    </row>
    <row r="71" spans="1:4" x14ac:dyDescent="0.25">
      <c r="A71" t="str">
        <v>Nurse 13</v>
      </c>
      <c r="B71" t="str">
        <v>PHO</v>
      </c>
      <c r="C71" t="str">
        <v>Phoenix</v>
      </c>
      <c r="D71" s="1">
        <v>8</v>
      </c>
    </row>
    <row r="72" spans="1:4" x14ac:dyDescent="0.25">
      <c r="A72" t="str">
        <v>Nurse 14</v>
      </c>
      <c r="B72" t="str">
        <v>BRX</v>
      </c>
      <c r="C72" t="str">
        <v>Bronx</v>
      </c>
      <c r="D72" s="1">
        <v>10</v>
      </c>
    </row>
    <row r="73" spans="1:4" x14ac:dyDescent="0.25">
      <c r="A73" t="str">
        <v>Nurse 14</v>
      </c>
      <c r="B73" t="str">
        <v>DET</v>
      </c>
      <c r="C73" t="str">
        <v>Detroit</v>
      </c>
      <c r="D73" s="1">
        <v>9</v>
      </c>
    </row>
    <row r="74" spans="1:4" x14ac:dyDescent="0.25">
      <c r="A74" t="str">
        <v>Nurse 14</v>
      </c>
      <c r="B74" t="str">
        <v>KAN</v>
      </c>
      <c r="C74" t="str">
        <v>Kansas City</v>
      </c>
      <c r="D74" s="1">
        <v>16</v>
      </c>
    </row>
    <row r="75" spans="1:4" x14ac:dyDescent="0.25">
      <c r="A75" t="str">
        <v>Nurse 14</v>
      </c>
      <c r="B75" t="str">
        <v>NOL</v>
      </c>
      <c r="C75" t="str">
        <v>New Orleans</v>
      </c>
      <c r="D75" s="1">
        <v>6</v>
      </c>
    </row>
    <row r="76" spans="1:4" x14ac:dyDescent="0.25">
      <c r="A76" t="str">
        <v>Nurse 15</v>
      </c>
      <c r="B76" t="str">
        <v>BOI</v>
      </c>
      <c r="C76" t="str">
        <v>Boise</v>
      </c>
      <c r="D76" s="1">
        <v>5</v>
      </c>
    </row>
    <row r="77" spans="1:4" x14ac:dyDescent="0.25">
      <c r="A77" t="str">
        <v>Nurse 15</v>
      </c>
      <c r="B77" t="str">
        <v>CIN</v>
      </c>
      <c r="C77" t="str">
        <v>Cincinnati</v>
      </c>
      <c r="D77" s="1">
        <v>10</v>
      </c>
    </row>
    <row r="78" spans="1:4" x14ac:dyDescent="0.25">
      <c r="A78" t="str">
        <v>Nurse 15</v>
      </c>
      <c r="B78" t="str">
        <v>LOM</v>
      </c>
      <c r="C78" t="str">
        <v>Loma Linda</v>
      </c>
      <c r="D78" s="1">
        <v>16</v>
      </c>
    </row>
    <row r="79" spans="1:4" x14ac:dyDescent="0.25">
      <c r="A79" t="str">
        <v>Nurse 15</v>
      </c>
      <c r="B79" t="str">
        <v>MAC</v>
      </c>
      <c r="C79" t="str">
        <v>Sacramento</v>
      </c>
      <c r="D79" s="1">
        <v>9</v>
      </c>
    </row>
    <row r="80" spans="1:4" x14ac:dyDescent="0.25">
      <c r="A80" t="str">
        <v>Nurse 15</v>
      </c>
      <c r="B80" t="str">
        <v>NOP</v>
      </c>
      <c r="C80" t="str">
        <v>Northport</v>
      </c>
      <c r="D80" s="1">
        <v>4</v>
      </c>
    </row>
    <row r="81" spans="1:4" x14ac:dyDescent="0.25">
      <c r="A81" t="str">
        <v>Nurse 16</v>
      </c>
      <c r="B81" t="str">
        <v>AMA</v>
      </c>
      <c r="C81" t="str">
        <v>Amarillo</v>
      </c>
      <c r="D81" s="1">
        <v>7</v>
      </c>
    </row>
    <row r="82" spans="1:4" x14ac:dyDescent="0.25">
      <c r="A82" t="str">
        <v>Nurse 16</v>
      </c>
      <c r="B82" t="str">
        <v>JAC</v>
      </c>
      <c r="C82" t="str">
        <v>Jackson</v>
      </c>
      <c r="D82" s="1">
        <v>2</v>
      </c>
    </row>
    <row r="83" spans="1:4" x14ac:dyDescent="0.25">
      <c r="A83" t="str">
        <v>Nurse 16</v>
      </c>
      <c r="B83" t="str">
        <v>NJH</v>
      </c>
      <c r="C83" t="str">
        <v>New Jersey</v>
      </c>
      <c r="D83" s="1">
        <v>6</v>
      </c>
    </row>
    <row r="84" spans="1:4" x14ac:dyDescent="0.25">
      <c r="A84" t="str">
        <v>Nurse 16</v>
      </c>
      <c r="B84" t="str">
        <v>SHR</v>
      </c>
      <c r="C84" t="str">
        <v>Shreveport</v>
      </c>
      <c r="D84" s="1">
        <v>2</v>
      </c>
    </row>
    <row r="85" spans="1:4" x14ac:dyDescent="0.25">
      <c r="A85" t="str">
        <v>Nurse 16</v>
      </c>
      <c r="B85" t="str">
        <v>TUC</v>
      </c>
      <c r="C85" t="str">
        <v>Tucson</v>
      </c>
      <c r="D85" s="1">
        <v>13</v>
      </c>
    </row>
    <row r="86" spans="1:4" x14ac:dyDescent="0.25">
      <c r="A86" t="str">
        <v>Nurse 16</v>
      </c>
      <c r="B86" t="str">
        <v>WIC</v>
      </c>
      <c r="C86" t="str">
        <v>Wichita</v>
      </c>
      <c r="D86" s="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1927-20E0-43D8-BE3B-CDCBF491D274}">
  <dimension ref="A1:Q86"/>
  <sheetViews>
    <sheetView zoomScale="145" zoomScaleNormal="145" workbookViewId="0">
      <selection activeCell="B11" sqref="B11"/>
    </sheetView>
  </sheetViews>
  <sheetFormatPr defaultRowHeight="15" x14ac:dyDescent="0.25"/>
  <cols>
    <col min="1" max="1" width="22.140625" customWidth="1"/>
    <col min="2" max="2" width="14" customWidth="1"/>
    <col min="3" max="3" width="21.42578125" bestFit="1" customWidth="1"/>
    <col min="4" max="4" width="17.140625" style="1" customWidth="1"/>
    <col min="5" max="5" width="15.140625" style="1" customWidth="1"/>
    <col min="8" max="8" width="12.5703125" style="1" bestFit="1" customWidth="1"/>
    <col min="9" max="14" width="10.5703125" style="1" customWidth="1"/>
    <col min="15" max="15" width="13.42578125" style="1" bestFit="1" customWidth="1"/>
    <col min="16" max="16" width="11.28515625" style="1" bestFit="1" customWidth="1"/>
    <col min="17" max="17" width="14.140625" style="1" bestFit="1" customWidth="1"/>
  </cols>
  <sheetData>
    <row r="1" spans="1:15" ht="15.75" x14ac:dyDescent="0.25">
      <c r="A1" s="9" t="str" cm="1">
        <f t="array" ref="A1:E86">_xlfn._xlws.PY(1,0,MD_Count,CensusTable[],MD_Previous[])</f>
        <v>StaffID</v>
      </c>
      <c r="B1" s="9" t="str">
        <v>SiteCode</v>
      </c>
      <c r="C1" s="9" t="str">
        <v>FacilityName</v>
      </c>
      <c r="D1" s="10" t="str">
        <v>PatientCount</v>
      </c>
      <c r="E1" s="10" t="str">
        <v>Category</v>
      </c>
    </row>
    <row r="2" spans="1:15" x14ac:dyDescent="0.25">
      <c r="A2" t="str">
        <v>MD Team 1</v>
      </c>
      <c r="B2" t="str">
        <v>BUF</v>
      </c>
      <c r="C2" t="str">
        <v>BUF-Upstate New York</v>
      </c>
      <c r="D2" s="1">
        <v>11</v>
      </c>
      <c r="E2" s="1">
        <v>3</v>
      </c>
      <c r="O2" s="2"/>
    </row>
    <row r="3" spans="1:15" x14ac:dyDescent="0.25">
      <c r="A3" t="str">
        <v>MD Team 1</v>
      </c>
      <c r="B3" t="str">
        <v>CLA</v>
      </c>
      <c r="C3" t="str">
        <v>Clarksburg</v>
      </c>
      <c r="D3" s="1">
        <v>10</v>
      </c>
      <c r="E3" s="1">
        <v>2</v>
      </c>
      <c r="O3" s="2"/>
    </row>
    <row r="4" spans="1:15" x14ac:dyDescent="0.25">
      <c r="A4" t="str">
        <v>MD Team 1</v>
      </c>
      <c r="B4" t="str">
        <v>CMS</v>
      </c>
      <c r="C4" t="str">
        <v>Columbia, SC</v>
      </c>
      <c r="D4" s="1">
        <v>7</v>
      </c>
      <c r="E4" s="1">
        <v>4</v>
      </c>
      <c r="O4" s="2"/>
    </row>
    <row r="5" spans="1:15" x14ac:dyDescent="0.25">
      <c r="A5" t="str">
        <v>MD Team 1</v>
      </c>
      <c r="B5" t="str">
        <v>CON</v>
      </c>
      <c r="C5" t="str">
        <v>Connecticut</v>
      </c>
      <c r="D5" s="1">
        <v>6</v>
      </c>
      <c r="E5" s="1">
        <v>3</v>
      </c>
      <c r="O5" s="2"/>
    </row>
    <row r="6" spans="1:15" x14ac:dyDescent="0.25">
      <c r="A6" t="str">
        <v>MD Team 1</v>
      </c>
      <c r="B6" t="str">
        <v>DET</v>
      </c>
      <c r="C6" t="str">
        <v>Detroit</v>
      </c>
      <c r="D6" s="1">
        <v>9</v>
      </c>
      <c r="E6" s="1">
        <v>4</v>
      </c>
      <c r="O6" s="2"/>
    </row>
    <row r="7" spans="1:15" x14ac:dyDescent="0.25">
      <c r="A7" t="str">
        <v>MD Team 1</v>
      </c>
      <c r="B7" t="str">
        <v>DOD</v>
      </c>
      <c r="C7" t="str">
        <v>Nellis AFB</v>
      </c>
      <c r="D7" s="1">
        <v>2</v>
      </c>
      <c r="E7" s="1">
        <v>3</v>
      </c>
      <c r="O7" s="2"/>
    </row>
    <row r="8" spans="1:15" x14ac:dyDescent="0.25">
      <c r="A8" t="str">
        <v>MD Team 1</v>
      </c>
      <c r="B8" t="str">
        <v>FAR</v>
      </c>
      <c r="C8" t="str">
        <v>Fargo</v>
      </c>
      <c r="D8" s="1">
        <v>0</v>
      </c>
      <c r="E8" s="1">
        <v>1</v>
      </c>
    </row>
    <row r="9" spans="1:15" x14ac:dyDescent="0.25">
      <c r="A9" t="str">
        <v>MD Team 1</v>
      </c>
      <c r="B9" t="str">
        <v>FNC</v>
      </c>
      <c r="C9" t="str">
        <v>Fayetteville, NC</v>
      </c>
      <c r="D9" s="1">
        <v>2</v>
      </c>
      <c r="E9" s="1">
        <v>3</v>
      </c>
    </row>
    <row r="10" spans="1:15" x14ac:dyDescent="0.25">
      <c r="A10" t="str">
        <v>MD Team 1</v>
      </c>
      <c r="B10" t="str">
        <v>GRJ</v>
      </c>
      <c r="C10" t="str">
        <v>Grand Junction</v>
      </c>
      <c r="D10" s="1">
        <v>3</v>
      </c>
      <c r="E10" s="1">
        <v>2</v>
      </c>
    </row>
    <row r="11" spans="1:15" x14ac:dyDescent="0.25">
      <c r="A11" t="str">
        <v>MD Team 1</v>
      </c>
      <c r="B11" t="str">
        <v>HOU</v>
      </c>
      <c r="C11" t="str">
        <v>Houston</v>
      </c>
      <c r="D11" s="1">
        <v>30</v>
      </c>
      <c r="E11" s="1">
        <v>3</v>
      </c>
    </row>
    <row r="12" spans="1:15" x14ac:dyDescent="0.25">
      <c r="A12" t="str">
        <v>MD Team 1</v>
      </c>
      <c r="B12" t="str">
        <v>MAR</v>
      </c>
      <c r="C12" t="str">
        <v>Marion</v>
      </c>
      <c r="D12" s="1">
        <v>0</v>
      </c>
      <c r="E12" s="1">
        <v>1</v>
      </c>
    </row>
    <row r="13" spans="1:15" x14ac:dyDescent="0.25">
      <c r="A13" t="str">
        <v>MD Team 1</v>
      </c>
      <c r="B13" t="str">
        <v>MUS</v>
      </c>
      <c r="C13" t="str">
        <v>Muskogee</v>
      </c>
      <c r="D13" s="1">
        <v>4</v>
      </c>
      <c r="E13" s="1">
        <v>1</v>
      </c>
    </row>
    <row r="14" spans="1:15" x14ac:dyDescent="0.25">
      <c r="A14" t="str">
        <v>MD Team 1</v>
      </c>
      <c r="B14" t="str">
        <v>NIN</v>
      </c>
      <c r="C14" t="str">
        <v>Northern Indiana</v>
      </c>
      <c r="D14" s="1">
        <v>0</v>
      </c>
      <c r="E14" s="1">
        <v>3</v>
      </c>
    </row>
    <row r="15" spans="1:15" x14ac:dyDescent="0.25">
      <c r="A15" t="str">
        <v>MD Team 1</v>
      </c>
      <c r="B15" t="str">
        <v>NOL</v>
      </c>
      <c r="C15" t="str">
        <v>New Orleans</v>
      </c>
      <c r="D15" s="1">
        <v>6</v>
      </c>
      <c r="E15" s="1">
        <v>3</v>
      </c>
    </row>
    <row r="16" spans="1:15" x14ac:dyDescent="0.25">
      <c r="A16" t="str">
        <v>MD Team 1</v>
      </c>
      <c r="B16" t="str">
        <v>REN</v>
      </c>
      <c r="C16" t="str">
        <v>Reno</v>
      </c>
      <c r="D16" s="1">
        <v>9</v>
      </c>
      <c r="E16" s="1">
        <v>3</v>
      </c>
    </row>
    <row r="17" spans="1:5" x14ac:dyDescent="0.25">
      <c r="A17" t="str">
        <v>MD Team 1</v>
      </c>
      <c r="B17" t="str">
        <v>RIC</v>
      </c>
      <c r="C17" t="str">
        <v>Richmond</v>
      </c>
      <c r="D17" s="1">
        <v>14</v>
      </c>
      <c r="E17" s="1">
        <v>3</v>
      </c>
    </row>
    <row r="18" spans="1:5" x14ac:dyDescent="0.25">
      <c r="A18" t="str">
        <v>MD Team 1</v>
      </c>
      <c r="B18" t="str">
        <v>SHR</v>
      </c>
      <c r="C18" t="str">
        <v>Shreveport</v>
      </c>
      <c r="D18" s="1">
        <v>2</v>
      </c>
      <c r="E18" s="1">
        <v>3</v>
      </c>
    </row>
    <row r="19" spans="1:5" x14ac:dyDescent="0.25">
      <c r="A19" t="str">
        <v>MD Team 1</v>
      </c>
      <c r="B19" t="str">
        <v>SPO</v>
      </c>
      <c r="C19" t="str">
        <v>Spokane</v>
      </c>
      <c r="D19" s="1">
        <v>2</v>
      </c>
      <c r="E19" s="1">
        <v>1</v>
      </c>
    </row>
    <row r="20" spans="1:5" x14ac:dyDescent="0.25">
      <c r="A20" t="str">
        <v>MD Team 1</v>
      </c>
      <c r="B20" t="str">
        <v>TOG</v>
      </c>
      <c r="C20" t="str">
        <v>Togus</v>
      </c>
      <c r="D20" s="1">
        <v>4</v>
      </c>
      <c r="E20" s="1">
        <v>3</v>
      </c>
    </row>
    <row r="21" spans="1:5" x14ac:dyDescent="0.25">
      <c r="A21" t="str">
        <v>MD Team 1</v>
      </c>
      <c r="B21" t="str">
        <v>TUC</v>
      </c>
      <c r="C21" t="str">
        <v>Tucson</v>
      </c>
      <c r="D21" s="1">
        <v>13</v>
      </c>
      <c r="E21" s="1">
        <v>3</v>
      </c>
    </row>
    <row r="22" spans="1:5" x14ac:dyDescent="0.25">
      <c r="A22" t="str">
        <v>MD Team 2</v>
      </c>
      <c r="B22" t="str">
        <v>AMA</v>
      </c>
      <c r="C22" t="str">
        <v>Amarillo</v>
      </c>
      <c r="D22" s="1">
        <v>7</v>
      </c>
      <c r="E22" s="1">
        <v>3</v>
      </c>
    </row>
    <row r="23" spans="1:5" x14ac:dyDescent="0.25">
      <c r="A23" t="str">
        <v>MD Team 2</v>
      </c>
      <c r="B23" t="str">
        <v>ASH</v>
      </c>
      <c r="C23" t="str">
        <v>Asheville</v>
      </c>
      <c r="D23" s="1">
        <v>9</v>
      </c>
      <c r="E23" s="1">
        <v>3</v>
      </c>
    </row>
    <row r="24" spans="1:5" x14ac:dyDescent="0.25">
      <c r="A24" t="str">
        <v>MD Team 2</v>
      </c>
      <c r="B24" t="str">
        <v>BAL</v>
      </c>
      <c r="C24" t="str">
        <v>Baltimore</v>
      </c>
      <c r="D24" s="1">
        <v>13</v>
      </c>
      <c r="E24" s="1">
        <v>3</v>
      </c>
    </row>
    <row r="25" spans="1:5" x14ac:dyDescent="0.25">
      <c r="A25" t="str">
        <v>MD Team 2</v>
      </c>
      <c r="B25" t="str">
        <v>BEC</v>
      </c>
      <c r="C25" t="str">
        <v>Beckley</v>
      </c>
      <c r="D25" s="1">
        <v>2</v>
      </c>
      <c r="E25" s="1">
        <v>1</v>
      </c>
    </row>
    <row r="26" spans="1:5" x14ac:dyDescent="0.25">
      <c r="A26" t="str">
        <v>MD Team 2</v>
      </c>
      <c r="B26" t="str">
        <v>BOI</v>
      </c>
      <c r="C26" t="str">
        <v>Boise</v>
      </c>
      <c r="D26" s="1">
        <v>5</v>
      </c>
      <c r="E26" s="1">
        <v>3</v>
      </c>
    </row>
    <row r="27" spans="1:5" x14ac:dyDescent="0.25">
      <c r="A27" t="str">
        <v>MD Team 2</v>
      </c>
      <c r="B27" t="str">
        <v>LEA</v>
      </c>
      <c r="C27" t="str">
        <v>Leavenworth</v>
      </c>
      <c r="D27" s="1">
        <v>4</v>
      </c>
      <c r="E27" s="1">
        <v>1</v>
      </c>
    </row>
    <row r="28" spans="1:5" x14ac:dyDescent="0.25">
      <c r="A28" t="str">
        <v>MD Team 2</v>
      </c>
      <c r="B28" t="str">
        <v>LIT</v>
      </c>
      <c r="C28" t="str">
        <v>Little Rock</v>
      </c>
      <c r="D28" s="1">
        <v>30</v>
      </c>
      <c r="E28" s="1">
        <v>3</v>
      </c>
    </row>
    <row r="29" spans="1:5" x14ac:dyDescent="0.25">
      <c r="A29" t="str">
        <v>MD Team 2</v>
      </c>
      <c r="B29" t="str">
        <v>MEM</v>
      </c>
      <c r="C29" t="str">
        <v>Memphis</v>
      </c>
      <c r="D29" s="1">
        <v>12</v>
      </c>
      <c r="E29" s="1">
        <v>3</v>
      </c>
    </row>
    <row r="30" spans="1:5" x14ac:dyDescent="0.25">
      <c r="A30" t="str">
        <v>MD Team 2</v>
      </c>
      <c r="B30" t="str">
        <v>MOU</v>
      </c>
      <c r="C30" t="str">
        <v>Mountain Home</v>
      </c>
      <c r="D30" s="1">
        <v>9</v>
      </c>
      <c r="E30" s="1">
        <v>3</v>
      </c>
    </row>
    <row r="31" spans="1:5" x14ac:dyDescent="0.25">
      <c r="A31" t="str">
        <v>MD Team 2</v>
      </c>
      <c r="B31" t="str">
        <v>MWV</v>
      </c>
      <c r="C31" t="str">
        <v>Martinsburg</v>
      </c>
      <c r="D31" s="1">
        <v>3</v>
      </c>
      <c r="E31" s="1">
        <v>4</v>
      </c>
    </row>
    <row r="32" spans="1:5" x14ac:dyDescent="0.25">
      <c r="A32" t="str">
        <v>MD Team 2</v>
      </c>
      <c r="B32" t="str">
        <v>ORL</v>
      </c>
      <c r="C32" t="str">
        <v>Orlando</v>
      </c>
      <c r="D32" s="1">
        <v>11</v>
      </c>
      <c r="E32" s="1">
        <v>3</v>
      </c>
    </row>
    <row r="33" spans="1:5" x14ac:dyDescent="0.25">
      <c r="A33" t="str">
        <v>MD Team 2</v>
      </c>
      <c r="B33" t="str">
        <v>PAL</v>
      </c>
      <c r="C33" t="str">
        <v>Palo Alto</v>
      </c>
      <c r="D33" s="1">
        <v>15</v>
      </c>
      <c r="E33" s="1">
        <v>3</v>
      </c>
    </row>
    <row r="34" spans="1:5" x14ac:dyDescent="0.25">
      <c r="A34" t="str">
        <v>MD Team 2</v>
      </c>
      <c r="B34" t="str">
        <v>STL</v>
      </c>
      <c r="C34" t="str">
        <v>St. Louis</v>
      </c>
      <c r="D34" s="1">
        <v>7</v>
      </c>
      <c r="E34" s="1">
        <v>3</v>
      </c>
    </row>
    <row r="35" spans="1:5" x14ac:dyDescent="0.25">
      <c r="A35" t="str">
        <v>MD Team 2</v>
      </c>
      <c r="B35" t="str">
        <v>SUX</v>
      </c>
      <c r="C35" t="str">
        <v>Sioux Falls</v>
      </c>
      <c r="D35" s="1">
        <v>2</v>
      </c>
      <c r="E35" s="1">
        <v>1</v>
      </c>
    </row>
    <row r="36" spans="1:5" x14ac:dyDescent="0.25">
      <c r="A36" t="str">
        <v>MD Team 2</v>
      </c>
      <c r="B36" t="str">
        <v>SYR</v>
      </c>
      <c r="C36" t="str">
        <v>SYR-Upstate New York</v>
      </c>
      <c r="D36" s="1">
        <v>5</v>
      </c>
      <c r="E36" s="1">
        <v>3</v>
      </c>
    </row>
    <row r="37" spans="1:5" x14ac:dyDescent="0.25">
      <c r="A37" t="str">
        <v>MD Team 2</v>
      </c>
      <c r="B37" t="str">
        <v>TOP</v>
      </c>
      <c r="C37" t="str">
        <v>Topeka</v>
      </c>
      <c r="D37" s="1">
        <v>0</v>
      </c>
      <c r="E37" s="1">
        <v>1</v>
      </c>
    </row>
    <row r="38" spans="1:5" x14ac:dyDescent="0.25">
      <c r="A38" t="str">
        <v>MD Team 3</v>
      </c>
      <c r="B38" t="str">
        <v>ABQ</v>
      </c>
      <c r="C38" t="str">
        <v>Albuquerque</v>
      </c>
      <c r="D38" s="1">
        <v>6</v>
      </c>
      <c r="E38" s="1">
        <v>3</v>
      </c>
    </row>
    <row r="39" spans="1:5" x14ac:dyDescent="0.25">
      <c r="A39" t="str">
        <v>MD Team 3</v>
      </c>
      <c r="B39" t="str">
        <v>ALN</v>
      </c>
      <c r="C39" t="str">
        <v>ALN-Upstate New York</v>
      </c>
      <c r="D39" s="1">
        <v>4</v>
      </c>
      <c r="E39" s="1">
        <v>3</v>
      </c>
    </row>
    <row r="40" spans="1:5" x14ac:dyDescent="0.25">
      <c r="A40" t="str">
        <v>MD Team 3</v>
      </c>
      <c r="B40" t="str">
        <v>ANN</v>
      </c>
      <c r="C40" t="str">
        <v>Ann Arbor</v>
      </c>
      <c r="D40" s="1">
        <v>9</v>
      </c>
      <c r="E40" s="1">
        <v>3</v>
      </c>
    </row>
    <row r="41" spans="1:5" x14ac:dyDescent="0.25">
      <c r="A41" t="str">
        <v>MD Team 3</v>
      </c>
      <c r="B41" t="str">
        <v>AUG</v>
      </c>
      <c r="C41" t="str">
        <v>Augusta</v>
      </c>
      <c r="D41" s="1">
        <v>3</v>
      </c>
      <c r="E41" s="1">
        <v>3</v>
      </c>
    </row>
    <row r="42" spans="1:5" x14ac:dyDescent="0.25">
      <c r="A42" t="str">
        <v>MD Team 3</v>
      </c>
      <c r="B42" t="str">
        <v>BIR</v>
      </c>
      <c r="C42" t="str">
        <v>Birmingham</v>
      </c>
      <c r="D42" s="1">
        <v>13</v>
      </c>
      <c r="E42" s="1">
        <v>3</v>
      </c>
    </row>
    <row r="43" spans="1:5" x14ac:dyDescent="0.25">
      <c r="A43" t="str">
        <v>MD Team 3</v>
      </c>
      <c r="B43" t="str">
        <v>BRX</v>
      </c>
      <c r="C43" t="str">
        <v>Bronx</v>
      </c>
      <c r="D43" s="1">
        <v>10</v>
      </c>
      <c r="E43" s="1">
        <v>4</v>
      </c>
    </row>
    <row r="44" spans="1:5" x14ac:dyDescent="0.25">
      <c r="A44" t="str">
        <v>MD Team 3</v>
      </c>
      <c r="B44" t="str">
        <v>FHM</v>
      </c>
      <c r="C44" t="str">
        <v>Fort Harrison</v>
      </c>
      <c r="D44" s="1">
        <v>2</v>
      </c>
      <c r="E44" s="1">
        <v>1</v>
      </c>
    </row>
    <row r="45" spans="1:5" x14ac:dyDescent="0.25">
      <c r="A45" t="str">
        <v>MD Team 3</v>
      </c>
      <c r="B45" t="str">
        <v>GLA</v>
      </c>
      <c r="C45" t="str">
        <v>West Los Angeles</v>
      </c>
      <c r="D45" s="1">
        <v>29</v>
      </c>
      <c r="E45" s="1">
        <v>3</v>
      </c>
    </row>
    <row r="46" spans="1:5" x14ac:dyDescent="0.25">
      <c r="A46" t="str">
        <v>MD Team 3</v>
      </c>
      <c r="B46" t="str">
        <v>HAM</v>
      </c>
      <c r="C46" t="str">
        <v>Hampton</v>
      </c>
      <c r="D46" s="1">
        <v>0</v>
      </c>
      <c r="E46" s="1">
        <v>1</v>
      </c>
    </row>
    <row r="47" spans="1:5" x14ac:dyDescent="0.25">
      <c r="A47" t="str">
        <v>MD Team 3</v>
      </c>
      <c r="B47" t="str">
        <v>LKC</v>
      </c>
      <c r="C47" t="str">
        <v>North Florida/South Georgia</v>
      </c>
      <c r="D47" s="1">
        <v>6</v>
      </c>
      <c r="E47" s="1">
        <v>1</v>
      </c>
    </row>
    <row r="48" spans="1:5" x14ac:dyDescent="0.25">
      <c r="A48" t="str">
        <v>MD Team 3</v>
      </c>
      <c r="B48" t="str">
        <v>MIN</v>
      </c>
      <c r="C48" t="str">
        <v>Minneapolis</v>
      </c>
      <c r="D48" s="1">
        <v>9</v>
      </c>
      <c r="E48" s="1">
        <v>3</v>
      </c>
    </row>
    <row r="49" spans="1:5" x14ac:dyDescent="0.25">
      <c r="A49" t="str">
        <v>MD Team 3</v>
      </c>
      <c r="B49" t="str">
        <v>NOP</v>
      </c>
      <c r="C49" t="str">
        <v>Northport</v>
      </c>
      <c r="D49" s="1">
        <v>4</v>
      </c>
      <c r="E49" s="1">
        <v>3</v>
      </c>
    </row>
    <row r="50" spans="1:5" x14ac:dyDescent="0.25">
      <c r="A50" t="str">
        <v>MD Team 3</v>
      </c>
      <c r="B50" t="str">
        <v>NYN</v>
      </c>
      <c r="C50" t="str">
        <v>NYN-New York Harbor</v>
      </c>
      <c r="D50" s="1">
        <v>16</v>
      </c>
      <c r="E50" s="1">
        <v>3</v>
      </c>
    </row>
    <row r="51" spans="1:5" x14ac:dyDescent="0.25">
      <c r="A51" t="str">
        <v>MD Team 3</v>
      </c>
      <c r="B51" t="str">
        <v>OKL</v>
      </c>
      <c r="C51" t="str">
        <v>Oklahoma City</v>
      </c>
      <c r="D51" s="1">
        <v>12</v>
      </c>
      <c r="E51" s="1">
        <v>3</v>
      </c>
    </row>
    <row r="52" spans="1:5" x14ac:dyDescent="0.25">
      <c r="A52" t="str">
        <v>MD Team 3</v>
      </c>
      <c r="B52" t="str">
        <v>PHO</v>
      </c>
      <c r="C52" t="str">
        <v>Phoenix</v>
      </c>
      <c r="D52" s="1">
        <v>8</v>
      </c>
      <c r="E52" s="1">
        <v>3</v>
      </c>
    </row>
    <row r="53" spans="1:5" x14ac:dyDescent="0.25">
      <c r="A53" t="str">
        <v>MD Team 3</v>
      </c>
      <c r="B53" t="str">
        <v>SBY</v>
      </c>
      <c r="C53" t="str">
        <v>Salisbury</v>
      </c>
      <c r="D53" s="1">
        <v>3</v>
      </c>
      <c r="E53" s="1">
        <v>3</v>
      </c>
    </row>
    <row r="54" spans="1:5" x14ac:dyDescent="0.25">
      <c r="A54" t="str">
        <v>MD Team 4</v>
      </c>
      <c r="B54" t="str">
        <v>BHH</v>
      </c>
      <c r="C54" t="str">
        <v>Black Hills</v>
      </c>
      <c r="D54" s="1">
        <v>1</v>
      </c>
      <c r="E54" s="1">
        <v>1</v>
      </c>
    </row>
    <row r="55" spans="1:5" x14ac:dyDescent="0.25">
      <c r="A55" t="str">
        <v>MD Team 4</v>
      </c>
      <c r="B55" t="str">
        <v>CAV</v>
      </c>
      <c r="C55" t="str">
        <v>Central Alabama</v>
      </c>
      <c r="D55" s="1">
        <v>3</v>
      </c>
      <c r="E55" s="1">
        <v>1</v>
      </c>
    </row>
    <row r="56" spans="1:5" x14ac:dyDescent="0.25">
      <c r="A56" t="str">
        <v>MD Team 4</v>
      </c>
      <c r="B56" t="str">
        <v>CHY</v>
      </c>
      <c r="C56" t="str">
        <v>Cheyenne</v>
      </c>
      <c r="D56" s="1">
        <v>4</v>
      </c>
      <c r="E56" s="1">
        <v>1</v>
      </c>
    </row>
    <row r="57" spans="1:5" x14ac:dyDescent="0.25">
      <c r="A57" t="str">
        <v>MD Team 4</v>
      </c>
      <c r="B57" t="str">
        <v>CTX</v>
      </c>
      <c r="C57" t="str">
        <v>Temple (Central Texas)</v>
      </c>
      <c r="D57" s="1">
        <v>1</v>
      </c>
      <c r="E57" s="1">
        <v>3</v>
      </c>
    </row>
    <row r="58" spans="1:5" x14ac:dyDescent="0.25">
      <c r="A58" t="str">
        <v>MD Team 4</v>
      </c>
      <c r="B58" t="str">
        <v>DAY</v>
      </c>
      <c r="C58" t="str">
        <v>Dayton</v>
      </c>
      <c r="D58" s="1">
        <v>5</v>
      </c>
      <c r="E58" s="1">
        <v>3</v>
      </c>
    </row>
    <row r="59" spans="1:5" x14ac:dyDescent="0.25">
      <c r="A59" t="str">
        <v>MD Team 4</v>
      </c>
      <c r="B59" t="str">
        <v>DEN</v>
      </c>
      <c r="C59" t="str">
        <v>Denver</v>
      </c>
      <c r="D59" s="1">
        <v>6</v>
      </c>
      <c r="E59" s="1">
        <v>3</v>
      </c>
    </row>
    <row r="60" spans="1:5" x14ac:dyDescent="0.25">
      <c r="A60" t="str">
        <v>MD Team 4</v>
      </c>
      <c r="B60" t="str">
        <v>IND</v>
      </c>
      <c r="C60" t="str">
        <v>Indianapolis</v>
      </c>
      <c r="D60" s="1">
        <v>12</v>
      </c>
      <c r="E60" s="1">
        <v>3</v>
      </c>
    </row>
    <row r="61" spans="1:5" x14ac:dyDescent="0.25">
      <c r="A61" t="str">
        <v>MD Team 4</v>
      </c>
      <c r="B61" t="str">
        <v>IOW</v>
      </c>
      <c r="C61" t="str">
        <v>Iowa City</v>
      </c>
      <c r="D61" s="1">
        <v>8</v>
      </c>
      <c r="E61" s="1">
        <v>3</v>
      </c>
    </row>
    <row r="62" spans="1:5" x14ac:dyDescent="0.25">
      <c r="A62" t="str">
        <v>MD Team 4</v>
      </c>
      <c r="B62" t="str">
        <v>LAS</v>
      </c>
      <c r="C62" t="str">
        <v>Las Vegas</v>
      </c>
      <c r="D62" s="1">
        <v>11</v>
      </c>
      <c r="E62" s="1">
        <v>3</v>
      </c>
    </row>
    <row r="63" spans="1:5" x14ac:dyDescent="0.25">
      <c r="A63" t="str">
        <v>MD Team 4</v>
      </c>
      <c r="B63" t="str">
        <v>LEB</v>
      </c>
      <c r="C63" t="str">
        <v>Lebanon</v>
      </c>
      <c r="D63" s="1">
        <v>7</v>
      </c>
      <c r="E63" s="1">
        <v>3</v>
      </c>
    </row>
    <row r="64" spans="1:5" x14ac:dyDescent="0.25">
      <c r="A64" t="str">
        <v>MD Team 4</v>
      </c>
      <c r="B64" t="str">
        <v>LOM</v>
      </c>
      <c r="C64" t="str">
        <v>Loma Linda</v>
      </c>
      <c r="D64" s="1">
        <v>16</v>
      </c>
      <c r="E64" s="1">
        <v>3</v>
      </c>
    </row>
    <row r="65" spans="1:5" x14ac:dyDescent="0.25">
      <c r="A65" t="str">
        <v>MD Team 4</v>
      </c>
      <c r="B65" t="str">
        <v>MAC</v>
      </c>
      <c r="C65" t="str">
        <v>Sacramento</v>
      </c>
      <c r="D65" s="1">
        <v>9</v>
      </c>
      <c r="E65" s="1">
        <v>3</v>
      </c>
    </row>
    <row r="66" spans="1:5" x14ac:dyDescent="0.25">
      <c r="A66" t="str">
        <v>MD Team 4</v>
      </c>
      <c r="B66" t="str">
        <v>SAJ</v>
      </c>
      <c r="C66" t="str">
        <v>San Juan</v>
      </c>
      <c r="D66" s="1">
        <v>24</v>
      </c>
      <c r="E66" s="1">
        <v>3</v>
      </c>
    </row>
    <row r="67" spans="1:5" x14ac:dyDescent="0.25">
      <c r="A67" t="str">
        <v>MD Team 4</v>
      </c>
      <c r="B67" t="str">
        <v>WBP</v>
      </c>
      <c r="C67" t="str">
        <v>Wilkes-Barre</v>
      </c>
      <c r="D67" s="1">
        <v>14</v>
      </c>
      <c r="E67" s="1">
        <v>3</v>
      </c>
    </row>
    <row r="68" spans="1:5" x14ac:dyDescent="0.25">
      <c r="A68" t="str">
        <v>MD Team 4</v>
      </c>
      <c r="B68" t="str">
        <v>WIC</v>
      </c>
      <c r="C68" t="str">
        <v>Wichita</v>
      </c>
      <c r="D68" s="1">
        <v>10</v>
      </c>
      <c r="E68" s="1">
        <v>3</v>
      </c>
    </row>
    <row r="69" spans="1:5" x14ac:dyDescent="0.25">
      <c r="A69" t="str">
        <v>MD Team 4</v>
      </c>
      <c r="B69" t="str">
        <v>WRJ</v>
      </c>
      <c r="C69" t="str">
        <v>White River Junction</v>
      </c>
      <c r="D69" s="1">
        <v>3</v>
      </c>
      <c r="E69" s="1">
        <v>3</v>
      </c>
    </row>
    <row r="70" spans="1:5" x14ac:dyDescent="0.25">
      <c r="A70" t="str">
        <v>MD Team 5</v>
      </c>
      <c r="B70" t="str">
        <v>ATG</v>
      </c>
      <c r="C70" t="str">
        <v>Atlanta</v>
      </c>
      <c r="D70" s="1">
        <v>7</v>
      </c>
      <c r="E70" s="1">
        <v>3</v>
      </c>
    </row>
    <row r="71" spans="1:5" x14ac:dyDescent="0.25">
      <c r="A71" t="str">
        <v>MD Team 5</v>
      </c>
      <c r="B71" t="str">
        <v>BAY</v>
      </c>
      <c r="C71" t="str">
        <v>Bay Pines</v>
      </c>
      <c r="D71" s="1">
        <v>16</v>
      </c>
      <c r="E71" s="1">
        <v>3</v>
      </c>
    </row>
    <row r="72" spans="1:5" x14ac:dyDescent="0.25">
      <c r="A72" t="str">
        <v>MD Team 5</v>
      </c>
      <c r="B72" t="str">
        <v>BIL</v>
      </c>
      <c r="C72" t="str">
        <v>Biloxi</v>
      </c>
      <c r="D72" s="1">
        <v>4</v>
      </c>
      <c r="E72" s="1">
        <v>2</v>
      </c>
    </row>
    <row r="73" spans="1:5" x14ac:dyDescent="0.25">
      <c r="A73" t="str">
        <v>MD Team 5</v>
      </c>
      <c r="B73" t="str">
        <v>BYN</v>
      </c>
      <c r="C73" t="str">
        <v>BYN-New York Harbor</v>
      </c>
      <c r="D73" s="1">
        <v>6</v>
      </c>
      <c r="E73" s="1">
        <v>3</v>
      </c>
    </row>
    <row r="74" spans="1:5" x14ac:dyDescent="0.25">
      <c r="A74" t="str">
        <v>MD Team 5</v>
      </c>
      <c r="B74" t="str">
        <v>CIN</v>
      </c>
      <c r="C74" t="str">
        <v>Cincinnati</v>
      </c>
      <c r="D74" s="1">
        <v>10</v>
      </c>
      <c r="E74" s="1">
        <v>3</v>
      </c>
    </row>
    <row r="75" spans="1:5" x14ac:dyDescent="0.25">
      <c r="A75" t="str">
        <v>MD Team 5</v>
      </c>
      <c r="B75" t="str">
        <v>CLE</v>
      </c>
      <c r="C75" t="str">
        <v>Cleveland</v>
      </c>
      <c r="D75" s="1">
        <v>14</v>
      </c>
      <c r="E75" s="1">
        <v>3</v>
      </c>
    </row>
    <row r="76" spans="1:5" x14ac:dyDescent="0.25">
      <c r="A76" t="str">
        <v>MD Team 5</v>
      </c>
      <c r="B76" t="str">
        <v>CMO</v>
      </c>
      <c r="C76" t="str">
        <v>Columbia, MO</v>
      </c>
      <c r="D76" s="1">
        <v>9</v>
      </c>
      <c r="E76" s="1">
        <v>3</v>
      </c>
    </row>
    <row r="77" spans="1:5" x14ac:dyDescent="0.25">
      <c r="A77" t="str">
        <v>MD Team 5</v>
      </c>
      <c r="B77" t="str">
        <v>DES</v>
      </c>
      <c r="C77" t="str">
        <v>Des Moines</v>
      </c>
      <c r="D77" s="1">
        <v>3</v>
      </c>
      <c r="E77" s="1">
        <v>1</v>
      </c>
    </row>
    <row r="78" spans="1:5" x14ac:dyDescent="0.25">
      <c r="A78" t="str">
        <v>MD Team 5</v>
      </c>
      <c r="B78" t="str">
        <v>FAV</v>
      </c>
      <c r="C78" t="str">
        <v>Fayetteville, AR</v>
      </c>
      <c r="D78" s="1">
        <v>4</v>
      </c>
      <c r="E78" s="1">
        <v>1</v>
      </c>
    </row>
    <row r="79" spans="1:5" x14ac:dyDescent="0.25">
      <c r="A79" t="str">
        <v>MD Team 5</v>
      </c>
      <c r="B79" t="str">
        <v>FRE</v>
      </c>
      <c r="C79" t="str">
        <v>Fresno</v>
      </c>
      <c r="D79" s="1">
        <v>13</v>
      </c>
      <c r="E79" s="1">
        <v>3</v>
      </c>
    </row>
    <row r="80" spans="1:5" x14ac:dyDescent="0.25">
      <c r="A80" t="str">
        <v>MD Team 5</v>
      </c>
      <c r="B80" t="str">
        <v>HUN</v>
      </c>
      <c r="C80" t="str">
        <v>Huntington</v>
      </c>
      <c r="D80" s="1">
        <v>2</v>
      </c>
      <c r="E80" s="1">
        <v>3</v>
      </c>
    </row>
    <row r="81" spans="1:5" x14ac:dyDescent="0.25">
      <c r="A81" t="str">
        <v>MD Team 5</v>
      </c>
      <c r="B81" t="str">
        <v>JAC</v>
      </c>
      <c r="C81" t="str">
        <v>Jackson</v>
      </c>
      <c r="D81" s="1">
        <v>2</v>
      </c>
      <c r="E81" s="1">
        <v>3</v>
      </c>
    </row>
    <row r="82" spans="1:5" x14ac:dyDescent="0.25">
      <c r="A82" t="str">
        <v>MD Team 5</v>
      </c>
      <c r="B82" t="str">
        <v>KAN</v>
      </c>
      <c r="C82" t="str">
        <v>Kansas City</v>
      </c>
      <c r="D82" s="1">
        <v>16</v>
      </c>
      <c r="E82" s="1">
        <v>3</v>
      </c>
    </row>
    <row r="83" spans="1:5" x14ac:dyDescent="0.25">
      <c r="A83" t="str">
        <v>MD Team 5</v>
      </c>
      <c r="B83" t="str">
        <v>NJH</v>
      </c>
      <c r="C83" t="str">
        <v>New Jersey</v>
      </c>
      <c r="D83" s="1">
        <v>6</v>
      </c>
      <c r="E83" s="1">
        <v>3</v>
      </c>
    </row>
    <row r="84" spans="1:5" x14ac:dyDescent="0.25">
      <c r="A84" t="str">
        <v>MD Team 5</v>
      </c>
      <c r="B84" t="str">
        <v>OMA</v>
      </c>
      <c r="C84" t="str">
        <v>Omaha</v>
      </c>
      <c r="D84" s="1">
        <v>9</v>
      </c>
      <c r="E84" s="1">
        <v>3</v>
      </c>
    </row>
    <row r="85" spans="1:5" x14ac:dyDescent="0.25">
      <c r="A85" t="str">
        <v>MD Team 5</v>
      </c>
      <c r="B85" t="str">
        <v>WAS</v>
      </c>
      <c r="C85" t="str">
        <v>Washington DC</v>
      </c>
      <c r="D85" s="1">
        <v>12</v>
      </c>
      <c r="E85" s="1">
        <v>3</v>
      </c>
    </row>
    <row r="86" spans="1:5" x14ac:dyDescent="0.25">
      <c r="A86" t="str">
        <v>MD Team 5</v>
      </c>
      <c r="B86" t="str">
        <v>WIM</v>
      </c>
      <c r="C86" t="str">
        <v>Wilmington</v>
      </c>
      <c r="D86" s="1">
        <v>1</v>
      </c>
      <c r="E86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86342-540C-45E2-93E6-8FE0657FDC35}">
  <dimension ref="A2:L20"/>
  <sheetViews>
    <sheetView workbookViewId="0">
      <selection activeCell="A3" sqref="A3"/>
    </sheetView>
  </sheetViews>
  <sheetFormatPr defaultRowHeight="15" x14ac:dyDescent="0.25"/>
  <cols>
    <col min="1" max="1" width="13.5703125" bestFit="1" customWidth="1"/>
    <col min="2" max="2" width="16.28515625" style="1" bestFit="1" customWidth="1"/>
    <col min="3" max="3" width="46.5703125" style="1" bestFit="1" customWidth="1"/>
    <col min="4" max="4" width="13.85546875" style="1" bestFit="1" customWidth="1"/>
    <col min="5" max="7" width="12.28515625" style="1" bestFit="1" customWidth="1"/>
    <col min="10" max="10" width="22.42578125" bestFit="1" customWidth="1"/>
    <col min="11" max="11" width="16.28515625" bestFit="1" customWidth="1"/>
    <col min="12" max="12" width="12.5703125" bestFit="1" customWidth="1"/>
  </cols>
  <sheetData>
    <row r="2" spans="1:12" ht="18.75" x14ac:dyDescent="0.3">
      <c r="A2" s="11" t="s">
        <v>200</v>
      </c>
      <c r="J2" s="11" t="s">
        <v>199</v>
      </c>
    </row>
    <row r="3" spans="1:12" ht="18.75" x14ac:dyDescent="0.3">
      <c r="A3" s="5" t="str" cm="1">
        <f t="array" ref="A3:G9">_xlfn._xlws.PY(2,0,MD_Assignments!A1:E400)</f>
        <v>StaffID</v>
      </c>
      <c r="B3" s="6" t="str">
        <v>TotalPatients</v>
      </c>
      <c r="C3" s="6" t="str">
        <v>TotalSites</v>
      </c>
      <c r="D3" s="6" t="str">
        <v>Cat1Sites</v>
      </c>
      <c r="E3" s="6" t="str">
        <v>Cat2Sites</v>
      </c>
      <c r="F3" s="6" t="str">
        <v>Cat3Sites</v>
      </c>
      <c r="G3" s="6" t="str">
        <v>Cat4Sites</v>
      </c>
      <c r="J3" s="5" t="str" cm="1">
        <f t="array" ref="J3:L20">_xlfn._xlws.PY(3,0,RN_Assignments!A1:D400)</f>
        <v>StaffID</v>
      </c>
      <c r="K3" s="6" t="str">
        <v>TotalPatients</v>
      </c>
      <c r="L3" s="6" t="str">
        <v>TotalSites</v>
      </c>
    </row>
    <row r="4" spans="1:12" ht="18.75" x14ac:dyDescent="0.3">
      <c r="A4" s="3" t="str">
        <v>MD Team 1</v>
      </c>
      <c r="B4" s="4">
        <v>134</v>
      </c>
      <c r="C4" s="4">
        <v>20</v>
      </c>
      <c r="D4" s="4">
        <v>4</v>
      </c>
      <c r="E4" s="4">
        <v>2</v>
      </c>
      <c r="F4" s="4">
        <v>12</v>
      </c>
      <c r="G4" s="4">
        <v>2</v>
      </c>
      <c r="J4" s="3" t="str">
        <v>Nurse 1</v>
      </c>
      <c r="K4" s="4">
        <v>43</v>
      </c>
      <c r="L4" s="4">
        <v>4</v>
      </c>
    </row>
    <row r="5" spans="1:12" ht="18.75" x14ac:dyDescent="0.3">
      <c r="A5" s="3" t="str">
        <v>MD Team 2</v>
      </c>
      <c r="B5" s="4">
        <v>134</v>
      </c>
      <c r="C5" s="4">
        <v>16</v>
      </c>
      <c r="D5" s="4">
        <v>4</v>
      </c>
      <c r="E5" s="4">
        <v>0</v>
      </c>
      <c r="F5" s="4">
        <v>11</v>
      </c>
      <c r="G5" s="4">
        <v>1</v>
      </c>
      <c r="J5" s="3" t="str">
        <v>Nurse 2</v>
      </c>
      <c r="K5" s="4">
        <v>44</v>
      </c>
      <c r="L5" s="4">
        <v>5</v>
      </c>
    </row>
    <row r="6" spans="1:12" ht="18.75" x14ac:dyDescent="0.3">
      <c r="A6" s="3" t="str">
        <v>MD Team 3</v>
      </c>
      <c r="B6" s="4">
        <v>134</v>
      </c>
      <c r="C6" s="4">
        <v>16</v>
      </c>
      <c r="D6" s="4">
        <v>3</v>
      </c>
      <c r="E6" s="4">
        <v>0</v>
      </c>
      <c r="F6" s="4">
        <v>12</v>
      </c>
      <c r="G6" s="4">
        <v>1</v>
      </c>
      <c r="J6" s="3" t="str">
        <v>Nurse 3</v>
      </c>
      <c r="K6" s="4">
        <v>43</v>
      </c>
      <c r="L6" s="4">
        <v>5</v>
      </c>
    </row>
    <row r="7" spans="1:12" ht="18.75" x14ac:dyDescent="0.3">
      <c r="A7" s="3" t="str">
        <v>MD Team 4</v>
      </c>
      <c r="B7" s="4">
        <v>134</v>
      </c>
      <c r="C7" s="4">
        <v>16</v>
      </c>
      <c r="D7" s="4">
        <v>3</v>
      </c>
      <c r="E7" s="4">
        <v>0</v>
      </c>
      <c r="F7" s="4">
        <v>13</v>
      </c>
      <c r="G7" s="4">
        <v>0</v>
      </c>
      <c r="J7" s="3" t="str">
        <v>Nurse 4</v>
      </c>
      <c r="K7" s="4">
        <v>41</v>
      </c>
      <c r="L7" s="4">
        <v>5</v>
      </c>
    </row>
    <row r="8" spans="1:12" ht="18.75" x14ac:dyDescent="0.3">
      <c r="A8" s="3" t="str">
        <v>MD Team 5</v>
      </c>
      <c r="B8" s="4">
        <v>134</v>
      </c>
      <c r="C8" s="4">
        <v>17</v>
      </c>
      <c r="D8" s="4">
        <v>3</v>
      </c>
      <c r="E8" s="4">
        <v>1</v>
      </c>
      <c r="F8" s="4">
        <v>13</v>
      </c>
      <c r="G8" s="4">
        <v>0</v>
      </c>
      <c r="J8" s="3" t="str">
        <v>Nurse 5</v>
      </c>
      <c r="K8" s="4">
        <v>44</v>
      </c>
      <c r="L8" s="4">
        <v>6</v>
      </c>
    </row>
    <row r="9" spans="1:12" ht="18.75" x14ac:dyDescent="0.3">
      <c r="A9" s="3" t="str">
        <v>TOTAL</v>
      </c>
      <c r="B9" s="4">
        <v>670</v>
      </c>
      <c r="C9" s="4">
        <v>85</v>
      </c>
      <c r="D9" s="4">
        <v>17</v>
      </c>
      <c r="E9" s="4">
        <v>3</v>
      </c>
      <c r="F9" s="4">
        <v>61</v>
      </c>
      <c r="G9" s="4">
        <v>4</v>
      </c>
      <c r="J9" s="3" t="str">
        <v>Nurse 6</v>
      </c>
      <c r="K9" s="4">
        <v>42</v>
      </c>
      <c r="L9" s="4">
        <v>6</v>
      </c>
    </row>
    <row r="10" spans="1:12" ht="18.75" x14ac:dyDescent="0.3">
      <c r="J10" s="3" t="str">
        <v>Nurse 7</v>
      </c>
      <c r="K10" s="4">
        <v>40</v>
      </c>
      <c r="L10" s="4">
        <v>6</v>
      </c>
    </row>
    <row r="11" spans="1:12" ht="18.75" x14ac:dyDescent="0.3">
      <c r="J11" s="3" t="str">
        <v>Nurse 8</v>
      </c>
      <c r="K11" s="4">
        <v>43</v>
      </c>
      <c r="L11" s="4">
        <v>8</v>
      </c>
    </row>
    <row r="12" spans="1:12" ht="18.75" x14ac:dyDescent="0.3">
      <c r="J12" s="3" t="str">
        <v>Nurse 9</v>
      </c>
      <c r="K12" s="4">
        <v>43</v>
      </c>
      <c r="L12" s="4">
        <v>7</v>
      </c>
    </row>
    <row r="13" spans="1:12" ht="18.75" x14ac:dyDescent="0.3">
      <c r="J13" s="3" t="str">
        <v>Nurse 10</v>
      </c>
      <c r="K13" s="4">
        <v>40</v>
      </c>
      <c r="L13" s="4">
        <v>4</v>
      </c>
    </row>
    <row r="14" spans="1:12" ht="18.75" x14ac:dyDescent="0.3">
      <c r="J14" s="3" t="str">
        <v>Nurse 11</v>
      </c>
      <c r="K14" s="4">
        <v>41</v>
      </c>
      <c r="L14" s="4">
        <v>5</v>
      </c>
    </row>
    <row r="15" spans="1:12" ht="18.75" x14ac:dyDescent="0.3">
      <c r="J15" s="3" t="str">
        <v>Nurse 12</v>
      </c>
      <c r="K15" s="4">
        <v>42</v>
      </c>
      <c r="L15" s="4">
        <v>5</v>
      </c>
    </row>
    <row r="16" spans="1:12" ht="18.75" x14ac:dyDescent="0.3">
      <c r="J16" s="3" t="str">
        <v>Nurse 13</v>
      </c>
      <c r="K16" s="4">
        <v>39</v>
      </c>
      <c r="L16" s="4">
        <v>4</v>
      </c>
    </row>
    <row r="17" spans="10:12" ht="18.75" x14ac:dyDescent="0.3">
      <c r="J17" s="3" t="str">
        <v>Nurse 14</v>
      </c>
      <c r="K17" s="4">
        <v>41</v>
      </c>
      <c r="L17" s="4">
        <v>4</v>
      </c>
    </row>
    <row r="18" spans="10:12" ht="18.75" x14ac:dyDescent="0.3">
      <c r="J18" s="3" t="str">
        <v>Nurse 15</v>
      </c>
      <c r="K18" s="4">
        <v>44</v>
      </c>
      <c r="L18" s="4">
        <v>5</v>
      </c>
    </row>
    <row r="19" spans="10:12" ht="18.75" x14ac:dyDescent="0.3">
      <c r="J19" s="3" t="str">
        <v>Nurse 16</v>
      </c>
      <c r="K19" s="4">
        <v>40</v>
      </c>
      <c r="L19" s="4">
        <v>6</v>
      </c>
    </row>
    <row r="20" spans="10:12" ht="18.75" x14ac:dyDescent="0.3">
      <c r="J20" s="3" t="str">
        <v>TOTAL</v>
      </c>
      <c r="K20" s="4">
        <v>670</v>
      </c>
      <c r="L20" s="4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8950-807B-4718-BFFB-562B231E2BE9}">
  <dimension ref="A1"/>
  <sheetViews>
    <sheetView tabSelected="1" workbookViewId="0">
      <selection activeCell="J51" sqref="J5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Census_Data</vt:lpstr>
      <vt:lpstr>RN_Inputs</vt:lpstr>
      <vt:lpstr>MD_Inputs</vt:lpstr>
      <vt:lpstr>RN_Assignments</vt:lpstr>
      <vt:lpstr>MD_Assignments</vt:lpstr>
      <vt:lpstr>Summary</vt:lpstr>
      <vt:lpstr>Notes</vt:lpstr>
      <vt:lpstr>MD_Count</vt:lpstr>
      <vt:lpstr>RN_ContinuityWeight</vt:lpstr>
      <vt:lpstr>RN_Count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Phillips</dc:creator>
  <cp:lastModifiedBy>David Phillips</cp:lastModifiedBy>
  <dcterms:created xsi:type="dcterms:W3CDTF">2025-12-17T12:01:53Z</dcterms:created>
  <dcterms:modified xsi:type="dcterms:W3CDTF">2025-12-29T21:48:37Z</dcterms:modified>
</cp:coreProperties>
</file>